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poa-ejecutado\"/>
    </mc:Choice>
  </mc:AlternateContent>
  <xr:revisionPtr revIDLastSave="0" documentId="13_ncr:1_{C19D0FFC-C7E8-4146-9311-9341AA5CD7A3}" xr6:coauthVersionLast="47" xr6:coauthVersionMax="47" xr10:uidLastSave="{00000000-0000-0000-0000-000000000000}"/>
  <bookViews>
    <workbookView xWindow="11424" yWindow="0" windowWidth="11712" windowHeight="13776" tabRatio="734" activeTab="1" xr2:uid="{00000000-000D-0000-FFFF-FFFF00000000}"/>
  </bookViews>
  <sheets>
    <sheet name="POA2026_ej" sheetId="1" r:id="rId1"/>
    <sheet name="POA2026_ej (2)" sheetId="6" r:id="rId2"/>
    <sheet name="results, prods y acts" sheetId="3" r:id="rId3"/>
    <sheet name="Consultores" sheetId="4" r:id="rId4"/>
    <sheet name="varios" sheetId="5" r:id="rId5"/>
  </sheets>
  <definedNames>
    <definedName name="_xlnm._FilterDatabase" localSheetId="0" hidden="1">POA2026_ej!$2:$53</definedName>
    <definedName name="_xlnm._FilterDatabase" localSheetId="1" hidden="1">'POA2026_ej (2)'!$2:$4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6" l="1"/>
  <c r="K7" i="6"/>
  <c r="F7" i="6"/>
  <c r="D7" i="6"/>
  <c r="B7" i="6"/>
  <c r="AB6" i="6"/>
  <c r="K6" i="6"/>
  <c r="E6" i="6" a="1"/>
  <c r="E6" i="6" s="1"/>
  <c r="F6" i="6" s="1"/>
  <c r="D6" i="6"/>
  <c r="B6" i="6"/>
  <c r="AB5" i="6"/>
  <c r="K5" i="6"/>
  <c r="E5" i="6" a="1"/>
  <c r="E5" i="6" s="1"/>
  <c r="F5" i="6" s="1"/>
  <c r="D5" i="6"/>
  <c r="B5" i="6"/>
  <c r="AB4" i="6"/>
  <c r="K4" i="6"/>
  <c r="E4" i="6" a="1"/>
  <c r="E4" i="6" s="1"/>
  <c r="F4" i="6" s="1"/>
  <c r="D4" i="6"/>
  <c r="B4" i="6"/>
  <c r="AB3" i="6"/>
  <c r="K3" i="6"/>
  <c r="D3" i="6"/>
  <c r="B3" i="6"/>
  <c r="AB2" i="6"/>
  <c r="K2" i="6"/>
  <c r="D2" i="6"/>
  <c r="B2" i="6"/>
  <c r="AB1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2" i="1"/>
  <c r="F50" i="1"/>
  <c r="F51" i="1"/>
  <c r="F52" i="1"/>
  <c r="F53" i="1"/>
  <c r="F54" i="1"/>
  <c r="F71" i="1"/>
  <c r="F72" i="1"/>
  <c r="F87" i="1"/>
  <c r="F88" i="1"/>
  <c r="F102" i="1"/>
  <c r="F148" i="1"/>
  <c r="F149" i="1"/>
  <c r="E18" i="1" a="1"/>
  <c r="E18" i="1" s="1"/>
  <c r="F18" i="1" s="1"/>
  <c r="E19" i="1" a="1"/>
  <c r="E19" i="1" s="1"/>
  <c r="F19" i="1" s="1"/>
  <c r="E20" i="1" a="1"/>
  <c r="E20" i="1" s="1"/>
  <c r="F20" i="1" s="1"/>
  <c r="E21" i="1" a="1"/>
  <c r="E21" i="1" s="1"/>
  <c r="F21" i="1" s="1"/>
  <c r="E22" i="1" a="1"/>
  <c r="E22" i="1" s="1"/>
  <c r="F22" i="1" s="1"/>
  <c r="E23" i="1" a="1"/>
  <c r="E23" i="1" s="1"/>
  <c r="F23" i="1" s="1"/>
  <c r="E24" i="1" a="1"/>
  <c r="E24" i="1" s="1"/>
  <c r="F24" i="1" s="1"/>
  <c r="E25" i="1" a="1"/>
  <c r="E25" i="1" s="1"/>
  <c r="F25" i="1" s="1"/>
  <c r="E26" i="1" a="1"/>
  <c r="E26" i="1"/>
  <c r="F26" i="1" s="1"/>
  <c r="E27" i="1" a="1"/>
  <c r="E27" i="1" s="1"/>
  <c r="F27" i="1" s="1"/>
  <c r="E28" i="1" a="1"/>
  <c r="E28" i="1" s="1"/>
  <c r="F28" i="1" s="1"/>
  <c r="E29" i="1" a="1"/>
  <c r="E29" i="1" s="1"/>
  <c r="F29" i="1" s="1"/>
  <c r="E30" i="1" a="1"/>
  <c r="E30" i="1" s="1"/>
  <c r="F30" i="1" s="1"/>
  <c r="E31" i="1" a="1"/>
  <c r="E31" i="1"/>
  <c r="F31" i="1" s="1"/>
  <c r="E32" i="1" a="1"/>
  <c r="E32" i="1" s="1"/>
  <c r="F32" i="1" s="1"/>
  <c r="E33" i="1" a="1"/>
  <c r="E33" i="1" s="1"/>
  <c r="F33" i="1" s="1"/>
  <c r="E34" i="1" a="1"/>
  <c r="E34" i="1"/>
  <c r="F34" i="1" s="1"/>
  <c r="E35" i="1" a="1"/>
  <c r="E35" i="1" s="1"/>
  <c r="F35" i="1" s="1"/>
  <c r="E36" i="1" a="1"/>
  <c r="E36" i="1" s="1"/>
  <c r="F36" i="1" s="1"/>
  <c r="E37" i="1" a="1"/>
  <c r="E37" i="1"/>
  <c r="F37" i="1" s="1"/>
  <c r="E38" i="1" a="1"/>
  <c r="E38" i="1" s="1"/>
  <c r="F38" i="1" s="1"/>
  <c r="E39" i="1" a="1"/>
  <c r="E39" i="1" s="1"/>
  <c r="F39" i="1" s="1"/>
  <c r="E40" i="1" a="1"/>
  <c r="E40" i="1"/>
  <c r="F40" i="1" s="1"/>
  <c r="E41" i="1" a="1"/>
  <c r="E41" i="1" s="1"/>
  <c r="F41" i="1" s="1"/>
  <c r="E42" i="1" a="1"/>
  <c r="E42" i="1" s="1"/>
  <c r="F42" i="1" s="1"/>
  <c r="E43" i="1" a="1"/>
  <c r="E43" i="1" s="1"/>
  <c r="F43" i="1" s="1"/>
  <c r="E44" i="1" a="1"/>
  <c r="E44" i="1"/>
  <c r="F44" i="1" s="1"/>
  <c r="E45" i="1" a="1"/>
  <c r="E45" i="1" s="1"/>
  <c r="F45" i="1" s="1"/>
  <c r="E46" i="1" a="1"/>
  <c r="E46" i="1" s="1"/>
  <c r="F46" i="1" s="1"/>
  <c r="E47" i="1" a="1"/>
  <c r="E47" i="1" s="1"/>
  <c r="F47" i="1" s="1"/>
  <c r="E48" i="1" a="1"/>
  <c r="E48" i="1"/>
  <c r="F48" i="1" s="1"/>
  <c r="E49" i="1" a="1"/>
  <c r="E49" i="1" s="1"/>
  <c r="F49" i="1" s="1"/>
  <c r="E55" i="1" a="1"/>
  <c r="E55" i="1" s="1"/>
  <c r="F55" i="1" s="1"/>
  <c r="E56" i="1" a="1"/>
  <c r="E56" i="1" s="1"/>
  <c r="F56" i="1" s="1"/>
  <c r="E57" i="1" a="1"/>
  <c r="E57" i="1"/>
  <c r="F57" i="1" s="1"/>
  <c r="E58" i="1" a="1"/>
  <c r="E58" i="1" s="1"/>
  <c r="F58" i="1" s="1"/>
  <c r="E59" i="1" a="1"/>
  <c r="E59" i="1" s="1"/>
  <c r="F59" i="1" s="1"/>
  <c r="E60" i="1" a="1"/>
  <c r="E60" i="1" s="1"/>
  <c r="F60" i="1" s="1"/>
  <c r="E61" i="1" a="1"/>
  <c r="E61" i="1" s="1"/>
  <c r="F61" i="1" s="1"/>
  <c r="E62" i="1" a="1"/>
  <c r="E62" i="1"/>
  <c r="F62" i="1" s="1"/>
  <c r="E63" i="1" a="1"/>
  <c r="E63" i="1" s="1"/>
  <c r="F63" i="1" s="1"/>
  <c r="E64" i="1" a="1"/>
  <c r="E64" i="1" s="1"/>
  <c r="F64" i="1" s="1"/>
  <c r="E65" i="1" a="1"/>
  <c r="E65" i="1" s="1"/>
  <c r="F65" i="1" s="1"/>
  <c r="E66" i="1" a="1"/>
  <c r="E66" i="1" s="1"/>
  <c r="F66" i="1" s="1"/>
  <c r="E67" i="1" a="1"/>
  <c r="E67" i="1"/>
  <c r="F67" i="1" s="1"/>
  <c r="E68" i="1" a="1"/>
  <c r="E68" i="1" s="1"/>
  <c r="F68" i="1" s="1"/>
  <c r="E69" i="1" a="1"/>
  <c r="E69" i="1" s="1"/>
  <c r="F69" i="1" s="1"/>
  <c r="E70" i="1" a="1"/>
  <c r="E70" i="1"/>
  <c r="F70" i="1" s="1"/>
  <c r="E73" i="1" a="1"/>
  <c r="E73" i="1" s="1"/>
  <c r="F73" i="1" s="1"/>
  <c r="E74" i="1" a="1"/>
  <c r="E74" i="1" s="1"/>
  <c r="F74" i="1" s="1"/>
  <c r="E75" i="1" a="1"/>
  <c r="E75" i="1" s="1"/>
  <c r="F75" i="1" s="1"/>
  <c r="E76" i="1" a="1"/>
  <c r="E76" i="1"/>
  <c r="F76" i="1" s="1"/>
  <c r="E77" i="1" a="1"/>
  <c r="E77" i="1"/>
  <c r="F77" i="1" s="1"/>
  <c r="E78" i="1" a="1"/>
  <c r="E78" i="1"/>
  <c r="F78" i="1" s="1"/>
  <c r="E79" i="1" a="1"/>
  <c r="E79" i="1" s="1"/>
  <c r="F79" i="1" s="1"/>
  <c r="E80" i="1" a="1"/>
  <c r="E80" i="1" s="1"/>
  <c r="F80" i="1" s="1"/>
  <c r="E81" i="1" a="1"/>
  <c r="E81" i="1" s="1"/>
  <c r="F81" i="1" s="1"/>
  <c r="E82" i="1" a="1"/>
  <c r="E82" i="1" s="1"/>
  <c r="F82" i="1" s="1"/>
  <c r="E83" i="1" a="1"/>
  <c r="E83" i="1" s="1"/>
  <c r="F83" i="1" s="1"/>
  <c r="E84" i="1" a="1"/>
  <c r="E84" i="1"/>
  <c r="F84" i="1" s="1"/>
  <c r="E85" i="1" a="1"/>
  <c r="E85" i="1" s="1"/>
  <c r="F85" i="1" s="1"/>
  <c r="E86" i="1" a="1"/>
  <c r="E86" i="1" s="1"/>
  <c r="F86" i="1" s="1"/>
  <c r="E89" i="1" a="1"/>
  <c r="E89" i="1"/>
  <c r="F89" i="1" s="1"/>
  <c r="E90" i="1" a="1"/>
  <c r="E90" i="1"/>
  <c r="F90" i="1" s="1"/>
  <c r="E91" i="1" a="1"/>
  <c r="E91" i="1" s="1"/>
  <c r="F91" i="1" s="1"/>
  <c r="E92" i="1" a="1"/>
  <c r="E92" i="1" s="1"/>
  <c r="F92" i="1" s="1"/>
  <c r="E93" i="1" a="1"/>
  <c r="E93" i="1"/>
  <c r="F93" i="1" s="1"/>
  <c r="E94" i="1" a="1"/>
  <c r="E94" i="1" s="1"/>
  <c r="F94" i="1" s="1"/>
  <c r="E95" i="1" a="1"/>
  <c r="E95" i="1" s="1"/>
  <c r="F95" i="1" s="1"/>
  <c r="E96" i="1" a="1"/>
  <c r="E96" i="1"/>
  <c r="F96" i="1" s="1"/>
  <c r="E97" i="1" a="1"/>
  <c r="E97" i="1"/>
  <c r="F97" i="1" s="1"/>
  <c r="E98" i="1" a="1"/>
  <c r="E98" i="1"/>
  <c r="F98" i="1" s="1"/>
  <c r="E99" i="1" a="1"/>
  <c r="E99" i="1" s="1"/>
  <c r="F99" i="1" s="1"/>
  <c r="E100" i="1" a="1"/>
  <c r="E100" i="1" s="1"/>
  <c r="F100" i="1" s="1"/>
  <c r="E101" i="1" a="1"/>
  <c r="E101" i="1"/>
  <c r="F101" i="1" s="1"/>
  <c r="E103" i="1" a="1"/>
  <c r="E103" i="1" s="1"/>
  <c r="F103" i="1" s="1"/>
  <c r="E104" i="1" a="1"/>
  <c r="E104" i="1" s="1"/>
  <c r="F104" i="1" s="1"/>
  <c r="E105" i="1" a="1"/>
  <c r="E105" i="1" s="1"/>
  <c r="F105" i="1" s="1"/>
  <c r="E106" i="1" a="1"/>
  <c r="E106" i="1" s="1"/>
  <c r="F106" i="1" s="1"/>
  <c r="E107" i="1" a="1"/>
  <c r="E107" i="1" s="1"/>
  <c r="F107" i="1" s="1"/>
  <c r="E108" i="1" a="1"/>
  <c r="E108" i="1" s="1"/>
  <c r="F108" i="1" s="1"/>
  <c r="E109" i="1" a="1"/>
  <c r="E109" i="1" s="1"/>
  <c r="F109" i="1" s="1"/>
  <c r="E110" i="1" a="1"/>
  <c r="E110" i="1" s="1"/>
  <c r="F110" i="1" s="1"/>
  <c r="E111" i="1" a="1"/>
  <c r="E111" i="1" s="1"/>
  <c r="F111" i="1" s="1"/>
  <c r="E112" i="1" a="1"/>
  <c r="E112" i="1" s="1"/>
  <c r="F112" i="1" s="1"/>
  <c r="E113" i="1" a="1"/>
  <c r="E113" i="1" s="1"/>
  <c r="F113" i="1" s="1"/>
  <c r="E114" i="1" a="1"/>
  <c r="E114" i="1" s="1"/>
  <c r="F114" i="1" s="1"/>
  <c r="E115" i="1" a="1"/>
  <c r="E115" i="1" s="1"/>
  <c r="F115" i="1" s="1"/>
  <c r="E116" i="1" a="1"/>
  <c r="E116" i="1" s="1"/>
  <c r="F116" i="1" s="1"/>
  <c r="E117" i="1" a="1"/>
  <c r="E117" i="1" s="1"/>
  <c r="F117" i="1" s="1"/>
  <c r="E118" i="1" a="1"/>
  <c r="E118" i="1" s="1"/>
  <c r="F118" i="1" s="1"/>
  <c r="E119" i="1" a="1"/>
  <c r="E119" i="1" s="1"/>
  <c r="F119" i="1" s="1"/>
  <c r="E120" i="1" a="1"/>
  <c r="E120" i="1" s="1"/>
  <c r="F120" i="1" s="1"/>
  <c r="E121" i="1" a="1"/>
  <c r="E121" i="1" s="1"/>
  <c r="F121" i="1" s="1"/>
  <c r="E122" i="1" a="1"/>
  <c r="E122" i="1" s="1"/>
  <c r="F122" i="1" s="1"/>
  <c r="E123" i="1" a="1"/>
  <c r="E123" i="1" s="1"/>
  <c r="F123" i="1" s="1"/>
  <c r="E124" i="1" a="1"/>
  <c r="E124" i="1"/>
  <c r="F124" i="1" s="1"/>
  <c r="E125" i="1" a="1"/>
  <c r="E125" i="1" s="1"/>
  <c r="F125" i="1" s="1"/>
  <c r="E126" i="1" a="1"/>
  <c r="E126" i="1" s="1"/>
  <c r="F126" i="1" s="1"/>
  <c r="E127" i="1" a="1"/>
  <c r="E127" i="1" s="1"/>
  <c r="F127" i="1" s="1"/>
  <c r="E128" i="1" a="1"/>
  <c r="E128" i="1"/>
  <c r="F128" i="1" s="1"/>
  <c r="E129" i="1" a="1"/>
  <c r="E129" i="1" s="1"/>
  <c r="F129" i="1" s="1"/>
  <c r="E130" i="1" a="1"/>
  <c r="E130" i="1"/>
  <c r="F130" i="1" s="1"/>
  <c r="E131" i="1" a="1"/>
  <c r="E131" i="1" s="1"/>
  <c r="F131" i="1" s="1"/>
  <c r="E132" i="1" a="1"/>
  <c r="E132" i="1"/>
  <c r="F132" i="1" s="1"/>
  <c r="E133" i="1" a="1"/>
  <c r="E133" i="1" s="1"/>
  <c r="F133" i="1" s="1"/>
  <c r="E134" i="1" a="1"/>
  <c r="E134" i="1" s="1"/>
  <c r="F134" i="1" s="1"/>
  <c r="E135" i="1" a="1"/>
  <c r="E135" i="1" s="1"/>
  <c r="F135" i="1" s="1"/>
  <c r="E136" i="1" a="1"/>
  <c r="E136" i="1" s="1"/>
  <c r="F136" i="1" s="1"/>
  <c r="E137" i="1" a="1"/>
  <c r="E137" i="1" s="1"/>
  <c r="F137" i="1" s="1"/>
  <c r="E138" i="1" a="1"/>
  <c r="E138" i="1" s="1"/>
  <c r="F138" i="1" s="1"/>
  <c r="E139" i="1" a="1"/>
  <c r="E139" i="1"/>
  <c r="F139" i="1" s="1"/>
  <c r="E140" i="1" a="1"/>
  <c r="E140" i="1" s="1"/>
  <c r="F140" i="1" s="1"/>
  <c r="E141" i="1" a="1"/>
  <c r="E141" i="1" s="1"/>
  <c r="F141" i="1" s="1"/>
  <c r="E142" i="1" a="1"/>
  <c r="E142" i="1"/>
  <c r="F142" i="1" s="1"/>
  <c r="E143" i="1" a="1"/>
  <c r="E143" i="1" s="1"/>
  <c r="F143" i="1" s="1"/>
  <c r="E144" i="1" a="1"/>
  <c r="E144" i="1"/>
  <c r="F144" i="1" s="1"/>
  <c r="E145" i="1" a="1"/>
  <c r="E145" i="1"/>
  <c r="F145" i="1" s="1"/>
  <c r="E146" i="1" a="1"/>
  <c r="E146" i="1" s="1"/>
  <c r="F146" i="1" s="1"/>
  <c r="E147" i="1" a="1"/>
  <c r="E147" i="1" s="1"/>
  <c r="F147" i="1" s="1"/>
  <c r="E17" i="1" a="1"/>
  <c r="E17" i="1" s="1"/>
  <c r="F17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AB2" i="1"/>
  <c r="AB139" i="1" l="1"/>
  <c r="AB138" i="1"/>
  <c r="AB137" i="1"/>
  <c r="AB136" i="1"/>
  <c r="AB135" i="1"/>
  <c r="AB109" i="1" l="1"/>
  <c r="AB31" i="1" l="1"/>
  <c r="AB43" i="1" l="1"/>
  <c r="AB46" i="1"/>
  <c r="AB45" i="1"/>
  <c r="AB49" i="1"/>
  <c r="AB39" i="1"/>
  <c r="AB30" i="1"/>
  <c r="AB29" i="1"/>
  <c r="AB28" i="1"/>
  <c r="AB34" i="1" l="1"/>
  <c r="AB27" i="1"/>
  <c r="AB40" i="1" l="1"/>
  <c r="AB51" i="1" l="1"/>
  <c r="AB147" i="1" l="1"/>
  <c r="AB146" i="1"/>
  <c r="AB145" i="1"/>
  <c r="AB143" i="1"/>
  <c r="AB142" i="1"/>
  <c r="AB141" i="1"/>
  <c r="AB130" i="1"/>
  <c r="AB129" i="1"/>
  <c r="AB128" i="1"/>
  <c r="AB119" i="1"/>
  <c r="AB120" i="1"/>
  <c r="AB121" i="1"/>
  <c r="AB122" i="1"/>
  <c r="AB123" i="1"/>
  <c r="AB124" i="1"/>
  <c r="AB125" i="1"/>
  <c r="AB68" i="1" l="1"/>
  <c r="AB149" i="1" l="1"/>
  <c r="AB148" i="1" l="1"/>
  <c r="AB144" i="1"/>
  <c r="AB140" i="1"/>
  <c r="AB134" i="1"/>
  <c r="AB133" i="1"/>
  <c r="AB132" i="1"/>
  <c r="AB131" i="1"/>
  <c r="AB127" i="1"/>
  <c r="AB126" i="1"/>
  <c r="AB118" i="1"/>
  <c r="AB117" i="1"/>
  <c r="AB116" i="1"/>
  <c r="AB115" i="1"/>
  <c r="AB114" i="1"/>
  <c r="AB113" i="1"/>
  <c r="AB16" i="1" l="1"/>
  <c r="AB15" i="1"/>
  <c r="AB8" i="1"/>
  <c r="AB7" i="1"/>
  <c r="AB6" i="1"/>
  <c r="AB5" i="1"/>
  <c r="AB4" i="1"/>
  <c r="AB3" i="1"/>
  <c r="AB17" i="1"/>
  <c r="AB18" i="1"/>
  <c r="AB19" i="1"/>
  <c r="AB20" i="1"/>
  <c r="AB21" i="1"/>
  <c r="AB14" i="1" l="1"/>
  <c r="AB13" i="1"/>
  <c r="AB11" i="1"/>
  <c r="AB10" i="1"/>
  <c r="AB9" i="1"/>
  <c r="AB112" i="1" l="1"/>
  <c r="AB111" i="1"/>
  <c r="AB110" i="1"/>
  <c r="AB108" i="1"/>
  <c r="AB105" i="1"/>
  <c r="AB107" i="1"/>
  <c r="AB106" i="1"/>
  <c r="AB104" i="1"/>
  <c r="AB103" i="1"/>
  <c r="AB102" i="1"/>
  <c r="AB96" i="1"/>
  <c r="AB91" i="1"/>
  <c r="AB101" i="1"/>
  <c r="AB100" i="1"/>
  <c r="AB99" i="1"/>
  <c r="AB98" i="1"/>
  <c r="AB97" i="1"/>
  <c r="AB95" i="1"/>
  <c r="AB94" i="1"/>
  <c r="AB93" i="1"/>
  <c r="AB92" i="1"/>
  <c r="AB90" i="1"/>
  <c r="AB89" i="1"/>
  <c r="AB73" i="1"/>
  <c r="AB22" i="1" l="1"/>
  <c r="AB23" i="1"/>
  <c r="AB24" i="1"/>
  <c r="AB25" i="1"/>
  <c r="AB26" i="1"/>
  <c r="AB42" i="1"/>
  <c r="AB32" i="1"/>
  <c r="AB33" i="1"/>
  <c r="AB35" i="1"/>
  <c r="AB36" i="1"/>
  <c r="AB37" i="1"/>
  <c r="AB38" i="1"/>
  <c r="AB41" i="1"/>
  <c r="AB44" i="1"/>
  <c r="AB47" i="1"/>
  <c r="AB48" i="1"/>
  <c r="AB50" i="1"/>
  <c r="AB54" i="1"/>
  <c r="AB52" i="1"/>
  <c r="AB53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9" i="1"/>
  <c r="AB70" i="1"/>
  <c r="AB71" i="1"/>
  <c r="AB72" i="1"/>
  <c r="AB74" i="1"/>
  <c r="AB75" i="1"/>
  <c r="AB76" i="1"/>
  <c r="AB77" i="1"/>
  <c r="AB78" i="1"/>
  <c r="AB81" i="1"/>
  <c r="AB79" i="1"/>
  <c r="AB80" i="1"/>
  <c r="AB82" i="1"/>
  <c r="AB83" i="1"/>
  <c r="AB84" i="1"/>
  <c r="AB85" i="1"/>
  <c r="AB86" i="1"/>
  <c r="AB87" i="1"/>
  <c r="AB8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<sst xmlns="http://schemas.openxmlformats.org/spreadsheetml/2006/main" count="2000" uniqueCount="922">
  <si>
    <t>Indicador</t>
  </si>
  <si>
    <t>Medio de verificación</t>
  </si>
  <si>
    <t>Logro Esperado</t>
  </si>
  <si>
    <t>R1</t>
  </si>
  <si>
    <t>A nivel GSN</t>
  </si>
  <si>
    <t>P1</t>
  </si>
  <si>
    <t>Asistencia técnica</t>
  </si>
  <si>
    <t>R1.P1.2.2</t>
  </si>
  <si>
    <t>Número de acompañamientos</t>
  </si>
  <si>
    <t>Acompañamiento</t>
  </si>
  <si>
    <t>Ficha de Seguimiento</t>
  </si>
  <si>
    <t>R1.P1.2.3</t>
  </si>
  <si>
    <t>GSN</t>
  </si>
  <si>
    <t>R1.P1.2.4</t>
  </si>
  <si>
    <t>R1.P1.2.5</t>
  </si>
  <si>
    <t>R1.P1.2.6</t>
  </si>
  <si>
    <t>R1.P1.2.8</t>
  </si>
  <si>
    <t>R1.P1.2.9</t>
  </si>
  <si>
    <t>Informe / Ficha de Seguimiento</t>
  </si>
  <si>
    <t>GSNs optimiza sus procesos de gestión.</t>
  </si>
  <si>
    <t>Acompañamiento a los GSNs en el proceso del seguimiento de la ejecución presupuestaria de ingresos y gastos.</t>
  </si>
  <si>
    <t>Los GSNs se encuentran alertados sobre los avances en la ejecución presupuestaria.</t>
  </si>
  <si>
    <t>GSN culminan procesos de contratación de los SBP</t>
  </si>
  <si>
    <t>Acompañamiento en el seguimiento del proceso de distribución de vacunas, registro oportuno de entradas y salidas (Neas y PECOSAS) de las vacunas.</t>
  </si>
  <si>
    <t>GSN relacionado con los SBP realiza oportunamente la distribución de vacunas.</t>
  </si>
  <si>
    <t>Acompañamiento a los GSN en las fases de los procesos de contratación de bienes y servicios relacionados al transporte y distribución de material educativo.</t>
  </si>
  <si>
    <t>Acompañamiento en el seguimiento del proceso de distribución del material educativo y verificación del registro oportuno de entradas y salidas  (Neas y PECOSAS) del material educativo.</t>
  </si>
  <si>
    <t>GSN relacionados a los SBP realiza oportunamente  la distribución del material educativo</t>
  </si>
  <si>
    <t>Acompañamiento a los responsables designados en la elaboración del Plan de trabajo para la implementación de mejora de los almacenes relacionados a los SBP.</t>
  </si>
  <si>
    <t>UEs de sector de Educación y/o Salud cuentan con plan de trabajo elaborado para la mejora de los almacenes a los SBP</t>
  </si>
  <si>
    <t>R1.P1.3.1</t>
  </si>
  <si>
    <t>Reunión</t>
  </si>
  <si>
    <t>Reuniones de retroalimentación del avance y resultado de la distribución de vacunas y material educativo con los GSN.</t>
  </si>
  <si>
    <t>Número de reuniones</t>
  </si>
  <si>
    <t>UEs - Sector Educación y Salud, informado y alertado de los avances y resultados de la distribución de vacunas y material educativo.</t>
  </si>
  <si>
    <t>Número de charlas</t>
  </si>
  <si>
    <t>Charla</t>
  </si>
  <si>
    <t>P2</t>
  </si>
  <si>
    <t>Fortalecimiento de capacidades</t>
  </si>
  <si>
    <t>R1.P2.3.1</t>
  </si>
  <si>
    <t>Capacitación</t>
  </si>
  <si>
    <t>Informe</t>
  </si>
  <si>
    <t>Curso y/o capacitación</t>
  </si>
  <si>
    <t>R1.P2.3.3</t>
  </si>
  <si>
    <t>Capacitación ad hoc para la programación de bienes y servicios de los SBP</t>
  </si>
  <si>
    <t>Número de capacitaciones</t>
  </si>
  <si>
    <t>Informe y Actas</t>
  </si>
  <si>
    <t>Personal técnico involucrado en la programación de CMN se encuentran capacitados en el GSN.</t>
  </si>
  <si>
    <t>Capacitación ad hoc o Curso de capacidades en la fases de contratación de bienes y servicios vinculados con los SBP</t>
  </si>
  <si>
    <t>Personal del OEC del GSN, se encuentran capacitados.</t>
  </si>
  <si>
    <t>Capacitación ad hoc en Gestión de Almacenes de los SBP</t>
  </si>
  <si>
    <t>Personal técnico involucrado en la gestión de almacenes encuentren capacitados en el GSN</t>
  </si>
  <si>
    <t>Curso</t>
  </si>
  <si>
    <t>P3</t>
  </si>
  <si>
    <t>Número de propuestas</t>
  </si>
  <si>
    <t>Propuesta</t>
  </si>
  <si>
    <t>Documento</t>
  </si>
  <si>
    <t>A nivel Nacional</t>
  </si>
  <si>
    <t>MEF - Dirección General de Programación Multianual de Inversiones - DGPMI</t>
  </si>
  <si>
    <t>Programa apoya a los GSN, presenta comentarios y aportaciones a la DGA.</t>
  </si>
  <si>
    <t>Ministerio de Educación - MINEDU</t>
  </si>
  <si>
    <t>Reuniones de coordinación y apoyo para absolver consultas relacionadas a la programación y distribución oportuna del material educativo, y; distribución de bienes patrimoniales a las IIEE de los GSN.</t>
  </si>
  <si>
    <t>MINEDU absuelva las consultas oportunamente de los GSN</t>
  </si>
  <si>
    <t>CENARES absuelva las consultas oportunamente</t>
  </si>
  <si>
    <t>P4</t>
  </si>
  <si>
    <t>Taller</t>
  </si>
  <si>
    <t>R1.P1.2.1</t>
  </si>
  <si>
    <t>Acompañamiento en el seguimiento del proceso de distribución del sulfato ferroso y verificación del registro oportuno de entradas y salidas  (Neas y PECOSAS) del sulfato ferroso</t>
  </si>
  <si>
    <t>R1.P1.2.7</t>
  </si>
  <si>
    <t>Acompañamiento a los responsables designados en el proceso de implementación del  Plan de trabajo  de mejora de los almacenes  relacionados a los SBP.</t>
  </si>
  <si>
    <t>R1.P2.3.2</t>
  </si>
  <si>
    <t>GSN relacionados a los SBP realiza oportunamente  la distribución del sulfato ferroso</t>
  </si>
  <si>
    <t>Número de Talleres</t>
  </si>
  <si>
    <t>R1.P1.1.1</t>
  </si>
  <si>
    <t>Reporte de Taller</t>
  </si>
  <si>
    <t>Acompañamiento en la actualización de instrumentos de gestión de la  cadena de abastecimiento publico de los SBP</t>
  </si>
  <si>
    <t>P5</t>
  </si>
  <si>
    <t>Publicaciones</t>
  </si>
  <si>
    <t>Reuniones de coordinaciones respecto a las nuevas normas, Asistencia técnica a los GSN, comentarios y aportaciones al Sistema Nacional de Abastecimiento y/o herramientas informáticas.</t>
  </si>
  <si>
    <t xml:space="preserve">Ministerio de Salud - MINSA  </t>
  </si>
  <si>
    <t>Reuniones de coordinación con MINSA para absolver consultas relacionadas a la programación y distribución oportuna de las vacunas y sulfato ferroso a los GSN</t>
  </si>
  <si>
    <t>Número de cursos</t>
  </si>
  <si>
    <t>R2.P4.1.1</t>
  </si>
  <si>
    <t>Número de propuesta</t>
  </si>
  <si>
    <t>GSN utiliza TI en su gestion del abastecimiento</t>
  </si>
  <si>
    <t>Propuesta de protocolo en base a la normatividad de los entes rectores para mejorar la gestión del abastecimiento</t>
  </si>
  <si>
    <t>Implementacion de TI en la gestion del Abastecimiento</t>
  </si>
  <si>
    <t>R1.P2.1.1</t>
  </si>
  <si>
    <t>R1.P2.5.1</t>
  </si>
  <si>
    <t>Curso (Programa Especial) en temas relacionados con la cadena de abastecimiento.</t>
  </si>
  <si>
    <t>Fortalecer conocimiento sobre metas de la cadena de abastecimiento.</t>
  </si>
  <si>
    <t>Charla para la elaboración del PAC 2023, PMBSyO 2024-2026, adecuada elaboración de las solicitudes de pedido, elaboración de especificaciones técnicas y términos de referencia para bienes y servicios y almacenes de los SBP</t>
  </si>
  <si>
    <t>Centro Nacional de Planeamiento Estratégico - CEPLAN</t>
  </si>
  <si>
    <t>Reuniones de trabajo para promover la articulación de la planificación operativa y la programación de la demanda de bienes y servicios relacionados con los servicios básicos priorizados y fortalecimiento de capacidades a los GSN. Coordinación de atención de consultas de los GSN.</t>
  </si>
  <si>
    <t>Ceplan fortalece el proceso de articulación de la planificación con la programación de bienes y servicios.</t>
  </si>
  <si>
    <t>R1.P3.1.1</t>
  </si>
  <si>
    <t>R1.P4.1.1</t>
  </si>
  <si>
    <t>Acompañamiento a los GSN en las fases de los procesos de contratación de bienes y servicios relacionados al transporte y distribución de vacunas y Sulfato Ferroso</t>
  </si>
  <si>
    <t>R2</t>
  </si>
  <si>
    <t>R2.P1.2.2</t>
  </si>
  <si>
    <t>Acompañamiento de los proyectos de inversión, gestionado desde el gobierno nacional de interés regional.</t>
  </si>
  <si>
    <t>R2.P1.2.3</t>
  </si>
  <si>
    <t>Acompañamiento en la fase de Programación Multianual de Inversiones, y en particular de la cartera priorizada con el GSN.</t>
  </si>
  <si>
    <t>R2.P1.2.4</t>
  </si>
  <si>
    <t>Acompañamiento en la consistencia del PMI 2025 con el PIA 2026 del GSN.</t>
  </si>
  <si>
    <t>R2.P1.2.5</t>
  </si>
  <si>
    <t>Acompañamiento en la fase de Formulación y Evaluación de Inversiones, y en particular de la cartera priorizada con el GSN.</t>
  </si>
  <si>
    <t>R2.P1.2.6</t>
  </si>
  <si>
    <t>Acompañamiento en la fase de Ejecución de Inversiones, y en particular de la cartera priorizada con el GSN.</t>
  </si>
  <si>
    <t>R2.P1.2.7</t>
  </si>
  <si>
    <t>Acompañamiento para la verificación de avance físico de la ejecución de inversiones de la cartera priorizada con el GSN.</t>
  </si>
  <si>
    <t>Visita</t>
  </si>
  <si>
    <t>R2.P1.2.8</t>
  </si>
  <si>
    <t>Acompañamiento para la verificación del funcionamiento de las inversiones concluidas de la cartera priorizada con el GSN</t>
  </si>
  <si>
    <t>R2.P1.3.1</t>
  </si>
  <si>
    <t>Reuniones retroalimentación para el seguimiento de la Ejecución de la cartera de inversiones que maneja el GSN, y en particular de la cartera priorizada con el GSN.</t>
  </si>
  <si>
    <t>Número de reuniones de retroalimentación</t>
  </si>
  <si>
    <t>R2.P2.1.1</t>
  </si>
  <si>
    <t>Curso relacionados a la gestión de inversiones (incluye presencial en regiones)</t>
  </si>
  <si>
    <t>Número de Diplomados</t>
  </si>
  <si>
    <t>Diplomado</t>
  </si>
  <si>
    <t>R2.P2.5.1</t>
  </si>
  <si>
    <t>Charlas sobre normatividad sectorial, y/o diversos items vinvulados a la gestion de inversiones.</t>
  </si>
  <si>
    <t>Número de Charlas</t>
  </si>
  <si>
    <t>R2.P3.4.1</t>
  </si>
  <si>
    <t>Acompañamiento en desarrollo de instrumentos de gestión relacionadas con las inversiones</t>
  </si>
  <si>
    <t xml:space="preserve">R2.P3.5.1 </t>
  </si>
  <si>
    <t>Propuesta de Eficiencia de procesos</t>
  </si>
  <si>
    <t>R2.P4.2.1</t>
  </si>
  <si>
    <t>Propuesta de Intervención costo-efectiva</t>
  </si>
  <si>
    <t xml:space="preserve">Número de propuestas </t>
  </si>
  <si>
    <t>R2.P5.2.1</t>
  </si>
  <si>
    <t>Documentos de buenas prácticas</t>
  </si>
  <si>
    <t xml:space="preserve">Número de documentos </t>
  </si>
  <si>
    <t>R2.P5.3.1</t>
  </si>
  <si>
    <t>Documento de politica</t>
  </si>
  <si>
    <t>A nivel nacional</t>
  </si>
  <si>
    <t>Reuniones de coordinación y compartir información relevante que permita optimizar la ejecución de las inversiones de los GSN.</t>
  </si>
  <si>
    <t>Reuniones de coordinación  respecto a modificaciones normativas y disposiciones en relación a la ejecución de inversiones de servicios priorizados y la reactivación de obras públicas.</t>
  </si>
  <si>
    <t>R3</t>
  </si>
  <si>
    <t>R3.P1.2.1</t>
  </si>
  <si>
    <t>Acompañamiento  para la revisión y evaluación de procesos internos de registro, fiscalización y cobranza tributaria municipal</t>
  </si>
  <si>
    <t xml:space="preserve">MPs  con procesos internos identificados. </t>
  </si>
  <si>
    <t>R3.P1.2.2</t>
  </si>
  <si>
    <t>Acompañamiento en los procesos y/o actividades que promuevan la ampliación de la base tributaria predial.</t>
  </si>
  <si>
    <t>MPs</t>
  </si>
  <si>
    <t xml:space="preserve">MPs con un proceso y/o actividad promovida para ampliar base tributaria predial </t>
  </si>
  <si>
    <t>R3.P1.2.3</t>
  </si>
  <si>
    <t>Acompañamiento en programas y actividades promovidas por el MEF, dirigidas a mejorar la recaudación tributaria, implementación y capacitación de uso del nuevo Sistema de Recaudación Tributaria Municipal (SRTM) y el Programa de Apoyo  Presupuestario.</t>
  </si>
  <si>
    <t>MPs con programas / actividades promovidas por el MEF para mejora de recaudación y con personal con conocimiento y capacitación sobre nuevo SRTM.</t>
  </si>
  <si>
    <t>R3.P1.2.5</t>
  </si>
  <si>
    <t>Acompañamiento en la evaluación y propuestas de mejora de los sistemas informáticos de la administración tributaria, así como su vinculación con el catastro.</t>
  </si>
  <si>
    <t>MPs cuentan con sistemas informáticos tributarios con mayores y/o mejores opciones (una evaluación anual)</t>
  </si>
  <si>
    <t>R3.P1.2.6</t>
  </si>
  <si>
    <t>Acompañamiento orientado a la implementación de un proceso oportuno de emisión predial anual</t>
  </si>
  <si>
    <t>MPs gestionan para implementar una emisión oportuna de tributos (1 anual)</t>
  </si>
  <si>
    <t>R3.P1.2.7</t>
  </si>
  <si>
    <t>Acompañamiento en el proceso de cumplimiento del Programa de Incentivos de Mejora de la Gestión Municipal.</t>
  </si>
  <si>
    <t>MPs Cumplimiento metas del Programa de Incentivos</t>
  </si>
  <si>
    <t>Charla al personal de la administración tributaria de Municipalidades, sobre diversos aspectos de la tributación municipal.</t>
  </si>
  <si>
    <t>Municipalidades con mayores conocimientos sobre normatividad de tributación municipal.</t>
  </si>
  <si>
    <t>R3.P2.3.1</t>
  </si>
  <si>
    <t>Capacitaciones ad hoc al personal de la administración tributaria de los municipios, sobre diversos aspectos de la tributación municipal.</t>
  </si>
  <si>
    <t>Número de Capacitaciones ad hoc</t>
  </si>
  <si>
    <t>Personal de la administración tributaria de los municipios con mayores conocimientos sobre normatividad de tributación municipal.</t>
  </si>
  <si>
    <t>R3.P2.3.2</t>
  </si>
  <si>
    <t>Cursos y/o Diplomado al personal de la administración tributaria de las municipalidades, sobre diversos aspectos de la tributación municipal.</t>
  </si>
  <si>
    <t>Número de Cursos o Diplomados</t>
  </si>
  <si>
    <t>Curso y/o Diplomado</t>
  </si>
  <si>
    <t>Instrumentos de mejora de la gestión</t>
  </si>
  <si>
    <t>R3.P3.3.1</t>
  </si>
  <si>
    <t>Propuesta de reforma técnico-administrativa que promuevan actualizaciones y mejoras de la normatividad Tributaria Municipal</t>
  </si>
  <si>
    <t>Número de propuestas elaborada</t>
  </si>
  <si>
    <t>MPs promueven mejoras en la normatividad tributaria.</t>
  </si>
  <si>
    <t>R3.P4.2.1</t>
  </si>
  <si>
    <t>Propuestas costo-efectiva para la implementación de programas de fiscalización tributaria, que se sustenten en los ingresos obtenidos de la propia fiscalización</t>
  </si>
  <si>
    <t>Número de Propuestas</t>
  </si>
  <si>
    <t>Propuestas de incremento en emisión tributaria por fiscalización.</t>
  </si>
  <si>
    <t>R3.P4.2.2</t>
  </si>
  <si>
    <t>Propuestas costo-efectiva para la implementación de estrategias dirigidas al incremento de la recaudación predial</t>
  </si>
  <si>
    <t>Propuestas de acciones para promover incremento de recaudación predial</t>
  </si>
  <si>
    <t>R3.P5.2.1</t>
  </si>
  <si>
    <t>Número de documentos</t>
  </si>
  <si>
    <t>GSNs tienen una gestión mas ordenada y transparente</t>
  </si>
  <si>
    <t>R3.P5.3.1</t>
  </si>
  <si>
    <t>MEF - Dirección General de Política Macroeconómica y Descentralización Fiscal</t>
  </si>
  <si>
    <t>Reunión de coordinación con la Dirección de Política y Descentralización Fiscal respecto a la asistencia técnica de la implementación y capacitación de uso del nuevo Sistema de Recaudación Tributaria Municipal (SRTM), la vinculación con el catastro y de programas y/o actividades dirigidas a mejorar la recaudación tributaria de los GL.</t>
  </si>
  <si>
    <t>Fortalecer conocimiento para asistencia técnica y retroalimentación.</t>
  </si>
  <si>
    <t>MEF - Dirección General de Políticas de Ingresos Públicos</t>
  </si>
  <si>
    <t xml:space="preserve">Reunión de coordinación con la Dirección General de Políticas de Ingresos Públicos del Ministerio de Economía y Finanzas vinculado al desarrollo del Programa de Apoyo Presupuestario (PAP) impulsado por SECO, para promover actividades que permitan potenciar los resultados esperados de la intervención </t>
  </si>
  <si>
    <t>R4</t>
  </si>
  <si>
    <t>A nivel GSN / fiscalías / juzgados</t>
  </si>
  <si>
    <t>R4.P1.1.1</t>
  </si>
  <si>
    <t>Número de talleres</t>
  </si>
  <si>
    <t xml:space="preserve">GSN elabora o actualiza plan de
control interno para SPP
</t>
  </si>
  <si>
    <t>R4.P1.2.1</t>
  </si>
  <si>
    <t>Acompañamiento al equipo coordinador de los GR y MP en la elaboración y seguimiento de los planes de control interno de SPP, e implementación del modelo de integridad en el marco del Programa GFP Subnacional</t>
  </si>
  <si>
    <t>Ficha de seguimiento</t>
  </si>
  <si>
    <t>GSN elabora, actualiza y efectúa seguimiento a plan de control interno para SPP</t>
  </si>
  <si>
    <t>R4.P2.1.1</t>
  </si>
  <si>
    <t>Curso virtual a los GSN en control interno y/o gestión de riesgos, para optimizar la provisión de SPP</t>
  </si>
  <si>
    <t>Número de cursos virtuales</t>
  </si>
  <si>
    <t>UE de GSN que entregan SPP
conocen y aplican la gestión de
riesgos</t>
  </si>
  <si>
    <t>R4.P2.3.1</t>
  </si>
  <si>
    <t>Número de capacitaciones ad hoc</t>
  </si>
  <si>
    <t>UE de GSN que entregan SPP conocen la gestión de riesgos</t>
  </si>
  <si>
    <t>R4.P2.5.1</t>
  </si>
  <si>
    <t>Charlas informativas y charlas de sensibilización en materia de control interno o integridad pública, dirigidas a funcionarios y servidores de los GSN que participan en la provisión de los SPP</t>
  </si>
  <si>
    <t>GSN conocen la importancia del control interno.</t>
  </si>
  <si>
    <t>R4.P2.5.2</t>
  </si>
  <si>
    <t>Charlas de sensibilización para la reflexión ética en la toma de decisiones y la internalización de valores, dirigidos a servidores en Unidades Orgánicas a cargo de coordinar, ejecutar y controlar los procesos de contratación pública en los GR y MP que brindan SPP</t>
  </si>
  <si>
    <t>GSN que brindan SPP reconocen la importancia de los valores en la toma de decisiones</t>
  </si>
  <si>
    <t>R4.P3.4.1</t>
  </si>
  <si>
    <t>Propuesta de directiva/protocolo/lineamientos sobre control interno o modelo de integridad a nivel de GSN</t>
  </si>
  <si>
    <t>R4.P3.5.1</t>
  </si>
  <si>
    <t>Propuesta de reforma tecnico administrativa sobre control interno o modelo de integridad a nivel de sector (CGR o SIP)</t>
  </si>
  <si>
    <t>R4.P4.1.1</t>
  </si>
  <si>
    <t>Propuesta de eficiencia de procesos en control interno o modelo de integridad</t>
  </si>
  <si>
    <t>Documentos de trabajo en control interno / modelo de integridad pública</t>
  </si>
  <si>
    <t xml:space="preserve">Número de publicaciones </t>
  </si>
  <si>
    <t>Difusión de artículos académicos especializados sobre control interno o modelo de integridad</t>
  </si>
  <si>
    <t>R4.P5.3.1</t>
  </si>
  <si>
    <t>Documento de politica sobre SCI y modelo de integridad pública</t>
  </si>
  <si>
    <t>Los GN reconocen la importancia de los valores e integridad en la toma de decisiones</t>
  </si>
  <si>
    <t>Secretaría de Integridad Pública</t>
  </si>
  <si>
    <t>Reuniones de trabajo sobre productos para promover una cultura de integridad y aspectos metodológicos para la gestión de riesgos, así como potenciar las capacitaciones ad-hoc y el curso virtual previsto</t>
  </si>
  <si>
    <t>Identificar oportunidades, potenciar el valor del curso virtual en gestión de riesgos para los SPP</t>
  </si>
  <si>
    <t>R5</t>
  </si>
  <si>
    <t>La capacidad de los operadores de justicia para recuperar activos ilícitos se consolida</t>
  </si>
  <si>
    <t>Asistencia técnica para la formulación de demandas, medidas cautelares y formulación de estrategias legales en casos emblemáticos de recuperación de activos ilícitos</t>
  </si>
  <si>
    <t>Informe o documento jurídico</t>
  </si>
  <si>
    <t>Documentos jurídicos presentados</t>
  </si>
  <si>
    <t>Reuniones de retroalimentación para hacer seguimiento de la eficacia de la estrategía legal durante los procesos para la recuperación de activos ilícitos</t>
  </si>
  <si>
    <t>Reporte</t>
  </si>
  <si>
    <t>Estrategias legales incorporadas a los  procesos orientados a la recuperación de activos ilícitos</t>
  </si>
  <si>
    <t xml:space="preserve">Número de Programas de Entrenamiento diseñados </t>
  </si>
  <si>
    <t>Programa</t>
  </si>
  <si>
    <t>Identificar, diseñar y asignar contenido para la aplicación de las herramientas orientadas a la recuperación de activos ilícitos</t>
  </si>
  <si>
    <t>Ejecución de Programas de entrenamiento en temas especializados vinculados a la recuperación de activos ilícitos</t>
  </si>
  <si>
    <t>Número de Programas de Entrenamiento ejecutados</t>
  </si>
  <si>
    <t>Operadores de justicia que participan en los procesos de recuperación de activos capacitado</t>
  </si>
  <si>
    <t>Diplomado especializado en recuperación de activos ilícitos</t>
  </si>
  <si>
    <t>Operadores de justicia que participan en los procesos de recuperación de activos ilícitos capacitado</t>
  </si>
  <si>
    <t>Revista especializada en recuperación de activos ilícitos</t>
  </si>
  <si>
    <t>Número de revistas</t>
  </si>
  <si>
    <t>Revista</t>
  </si>
  <si>
    <t>Difusión de artículos académicos especializados</t>
  </si>
  <si>
    <t>Boletín de buenas prácticas y lecciones aprendidas para la recuperación de activos ilícitos</t>
  </si>
  <si>
    <t>Número de boletines</t>
  </si>
  <si>
    <t>Boletín</t>
  </si>
  <si>
    <t>Buenas prácticas en los procesos de recuperación de activos identificadas</t>
  </si>
  <si>
    <t>Estudios de casos de recuperación de activos ilícitos</t>
  </si>
  <si>
    <t>Número de estudios de caso</t>
  </si>
  <si>
    <t>Estrategias legales identificadas para la obtención de resultados favorables relacionadas a la recuperación de activos ilícitos</t>
  </si>
  <si>
    <t>R1.P5.3.1</t>
  </si>
  <si>
    <t>Difusión de Asistencias Técnicas R1,R2,R3,R4, R5</t>
  </si>
  <si>
    <t>Número de herramientas o eventos de difusión elaborados en el mes sobre Asistencias Técnicas realizadas.</t>
  </si>
  <si>
    <t>Difusión de Instrumentos de Mejora de la Gestión realizados por el Programa (R1,R2,R3,R4,R5)</t>
  </si>
  <si>
    <t>Se difunden avances de resultados del Programa y se cumplen al 100% los resultados previstos por la Dirección (Buenos resultados en entrevistas con Autoridades, en ratificación de Planes de acción y en Interaacción con otros Programas de SECO)</t>
  </si>
  <si>
    <t>Se difunden avances de resultados del Programa y se cumplen al 100% los resultados previstos por la Dirección (Buenos resultados en entrevistas con Autoridades, en ratificación de Planes de acción y en Interaacción con Programas de SECO)</t>
  </si>
  <si>
    <t>Informes semestrales</t>
  </si>
  <si>
    <t>Envío a SECO</t>
  </si>
  <si>
    <t>Número de informes</t>
  </si>
  <si>
    <t>Correo de envío</t>
  </si>
  <si>
    <t>Informes enviados en el tiempo esperado</t>
  </si>
  <si>
    <t>Absolución de comentarios</t>
  </si>
  <si>
    <t>Número de respuestas</t>
  </si>
  <si>
    <t>Planificación Operativa</t>
  </si>
  <si>
    <t>Reuniones de trabajo con el equipo del Programa para el diseño y aprobación del POA</t>
  </si>
  <si>
    <t xml:space="preserve">Número de planes </t>
  </si>
  <si>
    <t xml:space="preserve">Plan </t>
  </si>
  <si>
    <t>Plan aprobado</t>
  </si>
  <si>
    <t>Monitoreo y Evaluación</t>
  </si>
  <si>
    <t>Reuniones mensuales de seguimiento</t>
  </si>
  <si>
    <t>Acta de reunión</t>
  </si>
  <si>
    <t>Las áreas encuentran puntos de mejora para el desarrollo de estrategias para la consecución de sus objetivos.</t>
  </si>
  <si>
    <t>Reuniones de identificación y gestión de riesgos</t>
  </si>
  <si>
    <t xml:space="preserve">Se analizan posibles riesgos y, de requerirse, se establecen medidas para su mitigación </t>
  </si>
  <si>
    <t>Coordinación con socios, cooperantes y Programas de SECO</t>
  </si>
  <si>
    <t>Reuniones del Comité de Piloteo con SECO y Basel Institute sede Suiza</t>
  </si>
  <si>
    <t>Se recoge retroalimentación para la implementación del Programa</t>
  </si>
  <si>
    <t>Evaluación de los GSN</t>
  </si>
  <si>
    <t>Número de documento</t>
  </si>
  <si>
    <t>Se define una metodología ad hoc para la evaluación de la gestión de las finanzas públicas en GSN</t>
  </si>
  <si>
    <t>Gestión del Conocimiento y Sostenibilidad</t>
  </si>
  <si>
    <t xml:space="preserve">Se promueve la sostenibilidad del Programa </t>
  </si>
  <si>
    <t>Diseño de la metodología de evaluación de las finanzas públicas en GSN</t>
  </si>
  <si>
    <t>CB</t>
  </si>
  <si>
    <t>CB.P1.1.1</t>
  </si>
  <si>
    <t>Taller para la elaboración de plan de acción con los GORE.</t>
  </si>
  <si>
    <t>CB.P1.2.1</t>
  </si>
  <si>
    <t>CB.P1.2.2</t>
  </si>
  <si>
    <t>CB.P1.2.3</t>
  </si>
  <si>
    <t>CB.P1.2.4</t>
  </si>
  <si>
    <t>CB.P1.2.5</t>
  </si>
  <si>
    <t>CB.P1.3.1</t>
  </si>
  <si>
    <t>Reuniones retroalimentación para el seguimiento de la ejecución</t>
  </si>
  <si>
    <t>CB.P2.1.1</t>
  </si>
  <si>
    <t>CB.P2.1.2</t>
  </si>
  <si>
    <t>CB.P2.5.1</t>
  </si>
  <si>
    <t>CB.P2.5.2</t>
  </si>
  <si>
    <t>CB.P2.5.3</t>
  </si>
  <si>
    <t>CB.P4.1.1</t>
  </si>
  <si>
    <t>CB.P5.1.1</t>
  </si>
  <si>
    <t>Documento de trabajo sobre gobernanza de la conservación de la biodiversidad</t>
  </si>
  <si>
    <t>CB.6.1</t>
  </si>
  <si>
    <t>CB.6.2</t>
  </si>
  <si>
    <t>R4.P1.2.2</t>
  </si>
  <si>
    <t>R4.P2.5.3</t>
  </si>
  <si>
    <t>Número de herramientas o eventos de difusión elaboradas/ desarrolladas en el mes sobre Capacitaciones/ Fortalecimiento de Capacidades realizadas</t>
  </si>
  <si>
    <t>D1</t>
  </si>
  <si>
    <t>Los procesos estratégicos y de soporte se realizan de forma eficaz y eficiente</t>
  </si>
  <si>
    <t>Los procesos de gestión de gasto corriente vinculados a los servicios básicos priorizados a cargo de los GSN son más eficaces y eficientes</t>
  </si>
  <si>
    <t>Los procesos de gestión de gasto de capital vinculados a los servicios priorizados a cargo de los GSN son más eficaces y eficientes</t>
  </si>
  <si>
    <t>El control interno y la integridad pública del GSN se fortalecen</t>
  </si>
  <si>
    <t>D1.1</t>
  </si>
  <si>
    <t>D1.2</t>
  </si>
  <si>
    <t>D1.3</t>
  </si>
  <si>
    <t>D1.4</t>
  </si>
  <si>
    <t>D1.1.1</t>
  </si>
  <si>
    <t>D1.1.2</t>
  </si>
  <si>
    <t>D1.2.1</t>
  </si>
  <si>
    <t>D1.3.1</t>
  </si>
  <si>
    <t>D1.3.2</t>
  </si>
  <si>
    <t>D1.5</t>
  </si>
  <si>
    <t>D1.6</t>
  </si>
  <si>
    <t>D1.4.1</t>
  </si>
  <si>
    <t>D1.4.2</t>
  </si>
  <si>
    <t>D1.4.3</t>
  </si>
  <si>
    <t>D1.4.4</t>
  </si>
  <si>
    <t>D1.4.5</t>
  </si>
  <si>
    <t>Se recogen retroalimentación del MEF</t>
  </si>
  <si>
    <t>D1.4.6</t>
  </si>
  <si>
    <t>D1.4.7</t>
  </si>
  <si>
    <t>D1.5.1</t>
  </si>
  <si>
    <t>D1.6.1</t>
  </si>
  <si>
    <r>
      <t>Diseño de Programas de entrenamiento en temas especializados vinculados a la recuperación de activos ilícitos</t>
    </r>
    <r>
      <rPr>
        <sz val="9"/>
        <color rgb="FFFF0000"/>
        <rFont val="Arial"/>
        <family val="2"/>
        <scheme val="minor"/>
      </rPr>
      <t xml:space="preserve"> </t>
    </r>
  </si>
  <si>
    <t>MEF- Dirección General de Abastecimiento-DGA</t>
  </si>
  <si>
    <t>Reuniones</t>
  </si>
  <si>
    <t>Charlas</t>
  </si>
  <si>
    <t>Número de publicaciones</t>
  </si>
  <si>
    <t>Sistemas</t>
  </si>
  <si>
    <t>Publicacion</t>
  </si>
  <si>
    <t>Presentación</t>
  </si>
  <si>
    <t>Numero de propuestas</t>
  </si>
  <si>
    <t>GSN actualizan sus estrategias y/o planes de vigilancia y control</t>
  </si>
  <si>
    <t>GSN monitorea el avance del plan</t>
  </si>
  <si>
    <t>Personal técnico involucrado en el control y vigilancia se capacita</t>
  </si>
  <si>
    <t>Generar alianzas para la ejecución de las actividades planificadas</t>
  </si>
  <si>
    <t>R1.P3.1.2</t>
  </si>
  <si>
    <t>Documento/Presentación</t>
  </si>
  <si>
    <t>GSN en capacidad de hacer seguimiento a proyectos de su interés</t>
  </si>
  <si>
    <t>GSN realizan una adecuada Programación Multianual de Inversiones</t>
  </si>
  <si>
    <t>GSN realizan su programación multianual de acuerdo a la normatividad vigente</t>
  </si>
  <si>
    <t>GSN formulan y aprueban sus proyectos de acuerdo a la normatividad vigente</t>
  </si>
  <si>
    <t>GSN ejecutan sus inversiones con la oportunidad y calidad requerida</t>
  </si>
  <si>
    <t>Se verifica el avance de las obras de las carteras priorizadas con los GSN según la programación</t>
  </si>
  <si>
    <t>Obras concluidas son entregadas a los operadores del servicio</t>
  </si>
  <si>
    <t>GSN fortalecen su gestión de ejecución de inversiones</t>
  </si>
  <si>
    <t>Personal de los GSN son capacitados</t>
  </si>
  <si>
    <t>Los GSN mejoran sus procesos de gestión de inversiones</t>
  </si>
  <si>
    <t>GSN tienen una gestión más ordenada y transparente</t>
  </si>
  <si>
    <t>Se logran sinergias en el trabajo de asistencia técnica a los GSN</t>
  </si>
  <si>
    <t>Conocimiento actualizado de las políticas que maneja el sector nacional en materia de inversiones</t>
  </si>
  <si>
    <t>Difusión de buenas prácticas implementadas en los GSN</t>
  </si>
  <si>
    <t xml:space="preserve">Talleres de gestión de riesgos o reflexión ética dirigidos a los equipos técnicos de los GN y GSN que brindan SPP </t>
  </si>
  <si>
    <t>Documento de trabajo</t>
  </si>
  <si>
    <t>Conservación de la Biodiversidad y Lucha contra el Cambio Climático</t>
  </si>
  <si>
    <t>R3.P2.5.1</t>
  </si>
  <si>
    <t>Propuesta de reforma técnico administrativa a nivel sectorial</t>
  </si>
  <si>
    <t>Número de Acompañamientos</t>
  </si>
  <si>
    <t xml:space="preserve">Charlas  en materia de control interno, modelo de integridad, gestión de riesgos, ética y temas relacionados dirigidas a funcionarios y servidores de los GN </t>
  </si>
  <si>
    <t>Protocolo de actuación en los procesos vinculados a la recuperación de activos ilícitos</t>
  </si>
  <si>
    <t>Asistencia técnica en la elaboración de estrategias de Vigilancia y Control de ACR</t>
  </si>
  <si>
    <t>ACR actualizan sus estrategias de vigilancia y control</t>
  </si>
  <si>
    <t xml:space="preserve">Acompañamiento a la gerencia en la actualización del monitoreo de la deforestación de ACR </t>
  </si>
  <si>
    <t>Acompañamiento a la gerencia en la actualización de los estados de conservación para las ACR.</t>
  </si>
  <si>
    <t>ACR actualizan sus estados de conservación</t>
  </si>
  <si>
    <t xml:space="preserve">Asistencia técnica a la gerencia en el diagnóstico de necesidades RPAS </t>
  </si>
  <si>
    <t>Número de diagnósticos</t>
  </si>
  <si>
    <t>Diagnóstico</t>
  </si>
  <si>
    <t>GSN cuentan con un Dx necesidades para al entrega del servicio de Monitoreo Remoto con RPAS</t>
  </si>
  <si>
    <t>Asistencia técnica a la gerencia para el uso de RPAS en GSN</t>
  </si>
  <si>
    <t xml:space="preserve">Número de asistencia técnica </t>
  </si>
  <si>
    <t>GSN cuentan con personal operativo para la entrega de servicio de monitoreo remoto con drones</t>
  </si>
  <si>
    <t>CB.P1.2.6</t>
  </si>
  <si>
    <t>CB.P1.2.7</t>
  </si>
  <si>
    <t>CB.P1.2.8</t>
  </si>
  <si>
    <t>CB.P1.2.9</t>
  </si>
  <si>
    <t>CB.P1.2.10</t>
  </si>
  <si>
    <t>CB.P1.2.11</t>
  </si>
  <si>
    <t>CB.P1.2.12</t>
  </si>
  <si>
    <t>Asistencia técnica a la gerencia para la actualización del modelo de datos SMART en ACR</t>
  </si>
  <si>
    <t>Acompañamiento a jefaturas en capacitaciones a organizaciones locales de vigilancia/ comites de vigilancia / y otros actores comunitarios</t>
  </si>
  <si>
    <t>Asistencia técnica en monitoreo remoto a las FEMA</t>
  </si>
  <si>
    <t>Acompañamiento a las jefaturas en la validación de los mapas de actores</t>
  </si>
  <si>
    <t>Acompañamiento a la jefatura en el monitoreo de los AdC (analisis de cambio de cobertura y deforestación)</t>
  </si>
  <si>
    <t>Acompañamiento en el diseño de los MERESE</t>
  </si>
  <si>
    <t>ACR cuentan con modelo de datos SMART actualizados</t>
  </si>
  <si>
    <t>ACR cuentan con comunidades capacitadas para la vigilancia comunitaria</t>
  </si>
  <si>
    <t xml:space="preserve">FEMA cuenta con personal capacitado para realizar labores de monitoreo de actividades de tala y minería ilegal </t>
  </si>
  <si>
    <t>ACR cuentan con mapas de actores validados a nivel del CdG</t>
  </si>
  <si>
    <t>ACR cuentan con Acuerdos de Conservación en funcionamiento</t>
  </si>
  <si>
    <t>ACR cuentan con Acuerdos de Conservación monitoreados</t>
  </si>
  <si>
    <t>ACR cuentan con MERESE diseñados</t>
  </si>
  <si>
    <t>Curso de uso de la herramienta SMART (con acreditación)   en alianza con Red de ACR /AAF</t>
  </si>
  <si>
    <t>Curso de uso de drones (con acreditación)</t>
  </si>
  <si>
    <t>CB.P2.1.3</t>
  </si>
  <si>
    <t>Curso de Formación de Formadores en PIF (con acreditación)-  en alianza con Red de ACR /AAF</t>
  </si>
  <si>
    <t>CB.P2.1.4</t>
  </si>
  <si>
    <t>Curso de monitoreo de bosques con herramientas de teledetección</t>
  </si>
  <si>
    <t>Charlas sobre gestión participativa (AdC y SIMSAC)</t>
  </si>
  <si>
    <t>Charlas sobre vigilancia comunitaria en ACR (MF VIGILANCIA PARTICIPATIVA, MF PIF)</t>
  </si>
  <si>
    <t>Charlas sobre monitoreo remoto (Tala selectiva, Alertas Atd, Indice de Severidad de Incendios)</t>
  </si>
  <si>
    <t>CB.P2.5.4</t>
  </si>
  <si>
    <t>Intercambios de Experiencias (Congreso de ACR, Webinar de intercambio de experiencias entre capacitadores en Mochila Forestal)</t>
  </si>
  <si>
    <t>Numero de eventos</t>
  </si>
  <si>
    <t>Informe y Constancias</t>
  </si>
  <si>
    <t>Personal técnico involucrado en el control y vigilancia se acredita como capacitador</t>
  </si>
  <si>
    <t>Informe y lista de asistencia</t>
  </si>
  <si>
    <t>Personal técnico involucrado en gestion participativa se capacita</t>
  </si>
  <si>
    <t>Personal técnico y comunidades involucradas en el control y vigilancia se capacitan</t>
  </si>
  <si>
    <t>Personal técnico involucrado en el control y vigilancia intercambian experiencias</t>
  </si>
  <si>
    <t>Guía para la entrega de los servicios de vigilancia y control, en las fases de monitoreo y retroalimentación</t>
  </si>
  <si>
    <t>Guía metodológica para el monitoreo de la deforestación en bosques amazónicos de ANP mediante el uso de teledetección y sistemas de información geográfica</t>
  </si>
  <si>
    <t>Protocolo para la gestión de alertas de deforestación para ACR</t>
  </si>
  <si>
    <t>Propuesta de Directiva de Acuerdos de conservación en ACR, por región  (elaboración, socialización a nivel regional y promoción de su aprobación con instrumento normativo)</t>
  </si>
  <si>
    <t>Guia o Protocolo</t>
  </si>
  <si>
    <t>Guia</t>
  </si>
  <si>
    <t>Protocolo</t>
  </si>
  <si>
    <t>SERNANP fortalece su institucionalidad en vigilancia y control</t>
  </si>
  <si>
    <t>GSN fortalecen su institucionalidad en gobernanza</t>
  </si>
  <si>
    <t>Modelo de datos SMART para ACR</t>
  </si>
  <si>
    <t>CB.P4.1.2</t>
  </si>
  <si>
    <t>Video informativo sobre el uso de la herramienta SMART</t>
  </si>
  <si>
    <t>CB.P4.1.3</t>
  </si>
  <si>
    <t>Diseño de sistema piloto de alertas tempranas que permita el monitoreo de cambios en los bosques</t>
  </si>
  <si>
    <t>CB.P4.1.4</t>
  </si>
  <si>
    <t>Número de Modelo de Datos</t>
  </si>
  <si>
    <t>Número de videos</t>
  </si>
  <si>
    <t>Número de sistemas de alertas diseñados</t>
  </si>
  <si>
    <t>Modelo de Datos</t>
  </si>
  <si>
    <t>Video</t>
  </si>
  <si>
    <t>Evento</t>
  </si>
  <si>
    <t>GSN cuentan con un modelo de datos SMART para ACR</t>
  </si>
  <si>
    <t>GSN cuentan con herramienta para la capacitación continua de Personal técnico involucrado en el control y vigilancia</t>
  </si>
  <si>
    <t>OSINFOR  y GFP implementan sistemas de información para la vigilancia y control en zonas de influencia</t>
  </si>
  <si>
    <t>CONIDA  y GFP recoge información de especies maderables y no maderables en ACR</t>
  </si>
  <si>
    <t>Mapaton para identificación especies maderables y no maderables</t>
  </si>
  <si>
    <t>CB.P5.1.2</t>
  </si>
  <si>
    <t>Documento de Trabajo sobre Uso de la Tecnología para Combatir la Tala Ilegal</t>
  </si>
  <si>
    <t>CB.P5.1.3</t>
  </si>
  <si>
    <t>Working Paper sobre Metodología de Monitoreo de Identificación especies maderables y no maderables en la amazonía peruana</t>
  </si>
  <si>
    <t>CB.P5.2.1</t>
  </si>
  <si>
    <t>Documento de Buenas practicas en el uso del Mapa de Actores</t>
  </si>
  <si>
    <t>Numero de publicaciones</t>
  </si>
  <si>
    <t>Publicación</t>
  </si>
  <si>
    <t>Difusión de artículos académicos especializados sobre tecnología para la conservación</t>
  </si>
  <si>
    <t>Difusión de artículos académicos especializados sobre tecnología para el desarrollo sostenible</t>
  </si>
  <si>
    <t>Difusión de buenas practicas en el uso de Mapa de Actores</t>
  </si>
  <si>
    <t>Entes rectores</t>
  </si>
  <si>
    <t>Planes de trabajo con entes rectores (SERNANP, OSINFOR, MINAM)</t>
  </si>
  <si>
    <t>Numeros de planes</t>
  </si>
  <si>
    <t>Planes</t>
  </si>
  <si>
    <t>Sociedad civil</t>
  </si>
  <si>
    <t>Planes de trabajo articulados con organizaciones de sociedad civil (Red de ACR/AFF, Programas de SECO)</t>
  </si>
  <si>
    <t>R1.P5.1.1</t>
  </si>
  <si>
    <t>Propuesta de Publicaciones</t>
  </si>
  <si>
    <t>Recomendaciones sobre la gestión del abastecimiento relacionado con los SBP</t>
  </si>
  <si>
    <t>R1.P6.1.1</t>
  </si>
  <si>
    <t>Reuniones de coordinación articulada con la DGA para realizar capacitaciones relacionadas a las normas legales vigentes en la Ley de Contrataciones del Estado y absoluciones de consultas del GSN</t>
  </si>
  <si>
    <t>DGA apoya en el fortalecimiento de  capacidades en la Ley de Contrataciones a los GSN</t>
  </si>
  <si>
    <t>Personal del Ministerio Público capacitado</t>
  </si>
  <si>
    <t>MPP</t>
  </si>
  <si>
    <t>Difusión de Capacitaciones/Fortalecimiento de Capacidades realizados por R1, R2,R3,R4,R5</t>
  </si>
  <si>
    <t>D1.4.8</t>
  </si>
  <si>
    <t xml:space="preserve">Reuniones estratégicas con candidatos a autoridades subnacionales </t>
  </si>
  <si>
    <t>Número de reuniones de presentación y coordinacion con candidatos a autoridades de los GSN</t>
  </si>
  <si>
    <t>Articulación temprana con candidatos a Gobernadores Regionales y Alcaldes Provinciales para asegurar continuidad técnica</t>
  </si>
  <si>
    <t>Las autoridades de los GSN se preparan para el cierre de gestión 2023-2026</t>
  </si>
  <si>
    <t>Se brinda acompañamiento técnico a las autoridades de los GSN en el proceso de transición hacia el nuevo periodo de gobierno, en el contexto de las elecciones generales 2026</t>
  </si>
  <si>
    <t>Los GSNs mejoran sus procesos de gestión de abastecimiento</t>
  </si>
  <si>
    <t>UEs de sector de Educación y/o Salud implementan mejoras en los almacenes.</t>
  </si>
  <si>
    <t>R1.P6.1.2</t>
  </si>
  <si>
    <t>R1.P6.2.1</t>
  </si>
  <si>
    <t>R1.P6.3.1</t>
  </si>
  <si>
    <t>R1.P6.4.1</t>
  </si>
  <si>
    <t>R2.P6.1.1</t>
  </si>
  <si>
    <t>R2.P6.1.2</t>
  </si>
  <si>
    <t>Los procesos priorizados de recaudación del impuesto predial en los Gobiernos Locales son más eficaces y eficientes</t>
  </si>
  <si>
    <t>R3.P6.1.1</t>
  </si>
  <si>
    <t>R3.P6.1.2</t>
  </si>
  <si>
    <t xml:space="preserve">Acompañamiento al órgano rector en integridad y entidades del GN priorizadas en la implementación del modelo de integridad </t>
  </si>
  <si>
    <t>El órgano rector en integridad y entidades priorizadas del GN fortalecen el modelo de integridad</t>
  </si>
  <si>
    <t>R4.P5.1.1</t>
  </si>
  <si>
    <t>R4.P6.2.1</t>
  </si>
  <si>
    <t>Número de protocolos</t>
  </si>
  <si>
    <t>Operadores de justicia que participan en los procesos de recuperación de activos ilícitos cuentan con herramientas</t>
  </si>
  <si>
    <t>R5.P3.5.1</t>
  </si>
  <si>
    <t>GSN establece un plan de trabajo anual con el Programa</t>
  </si>
  <si>
    <t>Acompañamiento a la jefatura en el diseño y seguimiento de los Acuerdos de Conservación (AdC)</t>
  </si>
  <si>
    <t>Difusión de artículos académicos especializados sobre gobernanza de la biodiversidad</t>
  </si>
  <si>
    <t>Establecer intervenciones articuladas con los órganos rectores en materia ambiental</t>
  </si>
  <si>
    <t>GSNs con documentos de lineamientos para la mejora de la gestión de almacén.</t>
  </si>
  <si>
    <t>R1.P2.5.2</t>
  </si>
  <si>
    <t>Reuniones de coordinación con gerentes clave (Planeamiento y Presupuesto) de los GR</t>
  </si>
  <si>
    <t>Número de reuniones de coordinación con autoridades de los GR</t>
  </si>
  <si>
    <t>Visitas técnicas a los GSN (GR y MP)</t>
  </si>
  <si>
    <t>Número de visitas técnicas</t>
  </si>
  <si>
    <t>Espacios de incidencia política</t>
  </si>
  <si>
    <t>Revisión y aprobación de publicaciones</t>
  </si>
  <si>
    <t>Capacitación ad-hoc a los GSN sobre gestión de riesgos, orientada a la provisión de SPP</t>
  </si>
  <si>
    <t xml:space="preserve">Charla especializada en Presupuesto Público </t>
  </si>
  <si>
    <t>Acompañamiento a los GSN en el proceso de planificación de las ACR</t>
  </si>
  <si>
    <t>Plan Operativo (POI) de SERNANP aprobado</t>
  </si>
  <si>
    <t>Acompañamiento a los GSN en el proceso de programación de la demanda de bienes y servicios relacionados a los ACR</t>
  </si>
  <si>
    <t xml:space="preserve">Acompañamiento a los GSN en el proceso de programación de la demanda de bienes y servicios relacionados a servicios priorizados en educación y salud </t>
  </si>
  <si>
    <t>Acompañamiento a los GSN en las fases de los procesos de contratación de bienes y servicios relacionados con las actividades de las ACR</t>
  </si>
  <si>
    <t>Acompañamiento a los GSNs en el proceso del seguimiento de la ejecución presupuestaria de gastos de las ACR</t>
  </si>
  <si>
    <t>Charla para la elaboración del POI, PMBSyO 2027-2029, adecuada elaboración de las solicitudes de pedido, elaboración de especificaciones técnicas y términos de referencia para bienes y servicios para ACR</t>
  </si>
  <si>
    <t>Personal de las ACR responsable de realizar pedidos se encuentra capacitado (Charla virtual).</t>
  </si>
  <si>
    <t>Personal de los GSN responsable de realizar pedidos se encuentra capacitado (Charla virtual).</t>
  </si>
  <si>
    <t>R1.P2.5.3</t>
  </si>
  <si>
    <t>Curso en Instrumentos de Sostenibilidad Financiera</t>
  </si>
  <si>
    <t>Gerencias de recursos naturales capacitados en el uso de instrumentos de sostenibilidad financiera</t>
  </si>
  <si>
    <t>R1.P2.1.2</t>
  </si>
  <si>
    <t>Recomendaciones sobre la gestión del abastecimiento relacionado con las ACR</t>
  </si>
  <si>
    <t>R1.P5.3.2</t>
  </si>
  <si>
    <t>GSNs con documentos de lineamientos para la mejora de la gestión de abastecimiento.</t>
  </si>
  <si>
    <t>ACR con documentos de lineamientos para la mejora de la gestión de abastecimiento.</t>
  </si>
  <si>
    <t>R1.P1.2.11</t>
  </si>
  <si>
    <t>R1.P1.2.12</t>
  </si>
  <si>
    <t>R1.P1.2.13</t>
  </si>
  <si>
    <t>Seguimiento a la validación de TI en la gestión</t>
  </si>
  <si>
    <t>R1.P4.1.2</t>
  </si>
  <si>
    <t>Herramienta validada de evaluación de estado situacional del PP0057</t>
  </si>
  <si>
    <t>Acompañamiento a la implementacion de TI en la gestion</t>
  </si>
  <si>
    <t>Herramienta Implementada en los GSN de evaluación de estado situacional del PP0057</t>
  </si>
  <si>
    <t>R1.P4.1.3</t>
  </si>
  <si>
    <t>R1.P3.5.1</t>
  </si>
  <si>
    <t>Seguimiento de validación de plantilla de AO para PP0057</t>
  </si>
  <si>
    <t>Plantilla estandar validada de AO del PP0057</t>
  </si>
  <si>
    <t>Taller en la gestión de la programación, contrataciones y almacén</t>
  </si>
  <si>
    <t>R1.P1.2.14</t>
  </si>
  <si>
    <t>Acompañamiento a los GSN en la elaboración de la metodología de evaluación de las finanzas públicas (PEFA)</t>
  </si>
  <si>
    <t>GSN cuentan con metodología de evaluación de las finanzas públicas (PEFA)</t>
  </si>
  <si>
    <t>R1.P1.2.15</t>
  </si>
  <si>
    <t>R5.P4.2.1.</t>
  </si>
  <si>
    <t>Herramientas tecnológicas para la mejora de los procesos de recuperación de activos ilícitos</t>
  </si>
  <si>
    <t>Número de herramientas</t>
  </si>
  <si>
    <t>Herramienta</t>
  </si>
  <si>
    <t>Operadores de justicia cuentan con herramientas tecnológicas para la mejora del proceso de recuperación de activos ilícitos</t>
  </si>
  <si>
    <t>Guia metodologica para la implementación de Contratos de Administración en ACR</t>
  </si>
  <si>
    <t>SERNANP fortalece su institucionalidad en gobernanza</t>
  </si>
  <si>
    <t>CB.P3.4.1</t>
  </si>
  <si>
    <t>CB.P3.5.1</t>
  </si>
  <si>
    <t>CB.P3.5.2</t>
  </si>
  <si>
    <t>CB.P3.5.3</t>
  </si>
  <si>
    <t>CB.P3.5.4</t>
  </si>
  <si>
    <t>Codigo</t>
  </si>
  <si>
    <t>Resultado</t>
  </si>
  <si>
    <t>Producto</t>
  </si>
  <si>
    <t>Tipo de producto</t>
  </si>
  <si>
    <t>P1.1</t>
  </si>
  <si>
    <t>P1.2</t>
  </si>
  <si>
    <t>P1.3</t>
  </si>
  <si>
    <t>Reuniones de retroalimentación</t>
  </si>
  <si>
    <t>P2.1</t>
  </si>
  <si>
    <t>Cursos</t>
  </si>
  <si>
    <t>P2.2</t>
  </si>
  <si>
    <t>P2.3</t>
  </si>
  <si>
    <t>Capacitación ad hoc</t>
  </si>
  <si>
    <t>P2.4</t>
  </si>
  <si>
    <t>Programa de entrenamiento</t>
  </si>
  <si>
    <t>P2.5</t>
  </si>
  <si>
    <t>P3.4</t>
  </si>
  <si>
    <t>Propuesta de modificación técnico-administrativa a nivel institucional</t>
  </si>
  <si>
    <t>Tecnologia de la Informacion / Instrumentos de innovación</t>
  </si>
  <si>
    <t>P3.5</t>
  </si>
  <si>
    <t>Propuesta de modificación técnico-administrativa a nivel sectorial</t>
  </si>
  <si>
    <t>Instrumentos de Gestión del Conocimiento (Publicaciones)</t>
  </si>
  <si>
    <t>P4.1</t>
  </si>
  <si>
    <t>Estrategia para la eficiencia de procesos</t>
  </si>
  <si>
    <t>P6</t>
  </si>
  <si>
    <t>P4.2</t>
  </si>
  <si>
    <t>Intervención costo-efectivaaa</t>
  </si>
  <si>
    <t>P5.1</t>
  </si>
  <si>
    <t>Documentos de trabajo</t>
  </si>
  <si>
    <t>P5.2</t>
  </si>
  <si>
    <t>Documentos de buenas prácticas y lecciones aprendidas</t>
  </si>
  <si>
    <t>P5.3</t>
  </si>
  <si>
    <t>Documentos de política</t>
  </si>
  <si>
    <t>Consultor</t>
  </si>
  <si>
    <t>Tipo</t>
  </si>
  <si>
    <t>Usuario</t>
  </si>
  <si>
    <t>Password</t>
  </si>
  <si>
    <t>Tipo consultor</t>
  </si>
  <si>
    <t>Área de Especialidad</t>
  </si>
  <si>
    <t>Entidad</t>
  </si>
  <si>
    <t>Componente</t>
  </si>
  <si>
    <t>Teléfono</t>
  </si>
  <si>
    <t>Correo electrónico</t>
  </si>
  <si>
    <t>Correo personal</t>
  </si>
  <si>
    <t>Admin</t>
  </si>
  <si>
    <t>admin</t>
  </si>
  <si>
    <t>admin1234</t>
  </si>
  <si>
    <t>Dirección</t>
  </si>
  <si>
    <t>Todo el ámbito del Programa</t>
  </si>
  <si>
    <t>D,R,C</t>
  </si>
  <si>
    <t>Jorge Manrique</t>
  </si>
  <si>
    <t>user</t>
  </si>
  <si>
    <t>jorge.manrique</t>
  </si>
  <si>
    <t>jorge.manrique8724</t>
  </si>
  <si>
    <t>Itinerante</t>
  </si>
  <si>
    <t>Conservación de Biodiversidad</t>
  </si>
  <si>
    <t>Gestión de las Finanzas Públicas</t>
  </si>
  <si>
    <t>jorge.manrique@gfpsubnacional.pe</t>
  </si>
  <si>
    <t>Gustavo Martin</t>
  </si>
  <si>
    <t>gustavo.martin</t>
  </si>
  <si>
    <t>gustavo.martin.4532</t>
  </si>
  <si>
    <t>D1, CB</t>
  </si>
  <si>
    <t>gustavo.martin@gfpsubnacional.pe</t>
  </si>
  <si>
    <t>Luz Garrido</t>
  </si>
  <si>
    <t>lgarrido</t>
  </si>
  <si>
    <t>lgarrido6715</t>
  </si>
  <si>
    <t>Contrataciones</t>
  </si>
  <si>
    <t>986723737 / 997025160</t>
  </si>
  <si>
    <t>lgarrido@gfpsubnacional.pe</t>
  </si>
  <si>
    <t>lmgarridop@hotmail.com</t>
  </si>
  <si>
    <t>Eduardo Padilla</t>
  </si>
  <si>
    <t>rodolfo.padilla</t>
  </si>
  <si>
    <t>rodolfo.padilla3100</t>
  </si>
  <si>
    <t>Inversiones</t>
  </si>
  <si>
    <t>rodolfo.padilla@gfpsubnacional.pe</t>
  </si>
  <si>
    <t>eduardopadillac@hotmail.com</t>
  </si>
  <si>
    <t>Luis Liñán</t>
  </si>
  <si>
    <t>luis.linan</t>
  </si>
  <si>
    <t>luis.linan8464</t>
  </si>
  <si>
    <t>Rentas</t>
  </si>
  <si>
    <t>luis.linan@gfpsubnacional.pe</t>
  </si>
  <si>
    <t>eduardo_lb_2004@hotmail.com</t>
  </si>
  <si>
    <t>Aldo Bautista</t>
  </si>
  <si>
    <t>aldo.bautista</t>
  </si>
  <si>
    <t>aldo.bautista5368</t>
  </si>
  <si>
    <t>Integridad y Riesgos</t>
  </si>
  <si>
    <t>Integridad Pública</t>
  </si>
  <si>
    <t>aldo.bautista@gfpsubnacional.pe</t>
  </si>
  <si>
    <t>Verónica Ferreyra</t>
  </si>
  <si>
    <t>veronica.ferreyra</t>
  </si>
  <si>
    <t>veronica.ferreyra3140</t>
  </si>
  <si>
    <t>Consultora</t>
  </si>
  <si>
    <t>Recuperación de activos</t>
  </si>
  <si>
    <t>Fiscalía y Poder Judicial</t>
  </si>
  <si>
    <t>Recuperación de Activos</t>
  </si>
  <si>
    <t>veronica.ferreyra@gfpsubnacional.pe</t>
  </si>
  <si>
    <t>Sergio Jimenez</t>
  </si>
  <si>
    <t>sergio.jimenez</t>
  </si>
  <si>
    <t>sergio.jimenez9375</t>
  </si>
  <si>
    <t>sergio.jimenez@baselgovernance.org</t>
  </si>
  <si>
    <t>Limberg Chero</t>
  </si>
  <si>
    <t>lchero</t>
  </si>
  <si>
    <t>lchero6776</t>
  </si>
  <si>
    <t>Coordinación institucional</t>
  </si>
  <si>
    <t>Coordinación Institucional</t>
  </si>
  <si>
    <t>lchero@gfpsubnacional.pe</t>
  </si>
  <si>
    <t>Jorge Rodas</t>
  </si>
  <si>
    <t>jorge.rodas</t>
  </si>
  <si>
    <t>jorge.rodas8451</t>
  </si>
  <si>
    <t>Gestión del Conocimiento</t>
  </si>
  <si>
    <t>jorge.rodas@gfpsubnacional.pe</t>
  </si>
  <si>
    <t>Yois Avila</t>
  </si>
  <si>
    <t>yois.avila</t>
  </si>
  <si>
    <t>yois.avila4984</t>
  </si>
  <si>
    <t>Residente</t>
  </si>
  <si>
    <t>940 530 377</t>
  </si>
  <si>
    <t>yois.avila@gfpsubnacional.pe</t>
  </si>
  <si>
    <t>Nelson Baez</t>
  </si>
  <si>
    <t>nelson.baez</t>
  </si>
  <si>
    <t>nelson.baez2073</t>
  </si>
  <si>
    <t>GORE Cusco/MP Cusco</t>
  </si>
  <si>
    <t>nelson.baez@gfpsubnacional.pe</t>
  </si>
  <si>
    <t>nelsonbaezpacheco@hotmail.com</t>
  </si>
  <si>
    <t>Carla Berrios</t>
  </si>
  <si>
    <t>carla.berrios</t>
  </si>
  <si>
    <t>carla.berrios6713</t>
  </si>
  <si>
    <t>GORE Apurímac/MP Abancay</t>
  </si>
  <si>
    <t>carla.berrios@gfpsubnacional.pe</t>
  </si>
  <si>
    <t>caberrios@gmail.com</t>
  </si>
  <si>
    <t>Constante Castillo</t>
  </si>
  <si>
    <t>constante.castillo</t>
  </si>
  <si>
    <t>constante.castillo1331</t>
  </si>
  <si>
    <t>GORE La Libertad/MP de Trujillo</t>
  </si>
  <si>
    <t>constante.castillo@gfpsubnacional.pe</t>
  </si>
  <si>
    <t>castilloalva@gmail.com</t>
  </si>
  <si>
    <t>Diana Castro</t>
  </si>
  <si>
    <t>diana.castro</t>
  </si>
  <si>
    <t>diana.castro5478</t>
  </si>
  <si>
    <t>GORE Piura</t>
  </si>
  <si>
    <t>diana.castro@gfpsubnacional.pe</t>
  </si>
  <si>
    <t>diancas_08@hotmail.com</t>
  </si>
  <si>
    <t>Xiomara Carbajal</t>
  </si>
  <si>
    <t>xcarbajal</t>
  </si>
  <si>
    <t>xcarbajal8653</t>
  </si>
  <si>
    <t>xcarbajal@gfpsubnacional.pe</t>
  </si>
  <si>
    <t>xiomy_pezo@hotmail.com</t>
  </si>
  <si>
    <t>Martín Cayo</t>
  </si>
  <si>
    <t>martin.cayo</t>
  </si>
  <si>
    <t>martin.cayo6025</t>
  </si>
  <si>
    <t>martin.cayo@gfpsubnacional.pe</t>
  </si>
  <si>
    <t>Delia Contreras</t>
  </si>
  <si>
    <t>delia.contreras</t>
  </si>
  <si>
    <t>delia.contreras4759</t>
  </si>
  <si>
    <t>MPA, MPC</t>
  </si>
  <si>
    <t>delia.contreras@gfpsubnacional.pe</t>
  </si>
  <si>
    <t>Elva Cruz</t>
  </si>
  <si>
    <t>elva.cruz</t>
  </si>
  <si>
    <t>elva.cruz6246</t>
  </si>
  <si>
    <t>GORE San Martín/MP San Martin</t>
  </si>
  <si>
    <t>elva.cruz@gfpsubnacional.pe</t>
  </si>
  <si>
    <t>ecruz281@hotmail.com</t>
  </si>
  <si>
    <t>Milagrito Diaz</t>
  </si>
  <si>
    <t>milagrito.diaz</t>
  </si>
  <si>
    <t>milagrito.diaz9265</t>
  </si>
  <si>
    <t>milagrito.diaz@gfpsubnacional.pe</t>
  </si>
  <si>
    <t>mdiaz2810@yahoo.es</t>
  </si>
  <si>
    <t>Dalila Diaz</t>
  </si>
  <si>
    <t>dalila.diaz</t>
  </si>
  <si>
    <t>dalila.diaz1190</t>
  </si>
  <si>
    <t>dalila.diaz@gfpsubnacional.pe</t>
  </si>
  <si>
    <t>diazurcia@gmail.com</t>
  </si>
  <si>
    <t>Michael Ludeña</t>
  </si>
  <si>
    <t>luis.ludena</t>
  </si>
  <si>
    <t>luis.ludena2617</t>
  </si>
  <si>
    <t>MPSM</t>
  </si>
  <si>
    <t>luis.ludena@gfpsubnacional.pe</t>
  </si>
  <si>
    <t>Julio Morales</t>
  </si>
  <si>
    <t>julio.morales</t>
  </si>
  <si>
    <t>julio.morales2846</t>
  </si>
  <si>
    <t>GORE Lambayeque</t>
  </si>
  <si>
    <t>julio.morales@gfpsubnacional.pe</t>
  </si>
  <si>
    <t>Lisseth Galiano</t>
  </si>
  <si>
    <t>lisseth.galiano</t>
  </si>
  <si>
    <t>lisseth.galiano6607</t>
  </si>
  <si>
    <t>lisseth.galiano@gfpsubnacional.pe</t>
  </si>
  <si>
    <t>Jorge Rojas</t>
  </si>
  <si>
    <t>jrojas</t>
  </si>
  <si>
    <t>jrojas1529</t>
  </si>
  <si>
    <t>jrojas@gfpsubnacional.pe</t>
  </si>
  <si>
    <t>jorchst@gmail.com</t>
  </si>
  <si>
    <t>Lady Seminario</t>
  </si>
  <si>
    <t>lseminario</t>
  </si>
  <si>
    <t>lseminario8059</t>
  </si>
  <si>
    <t>986723762 / 975459691</t>
  </si>
  <si>
    <t>lseminario@gfpsubnacional.pe</t>
  </si>
  <si>
    <t>semibeni@hotmail.com</t>
  </si>
  <si>
    <t>Luis Yzquierdo</t>
  </si>
  <si>
    <t>luis.yzquierdo</t>
  </si>
  <si>
    <t>luis.yzquierdo1647</t>
  </si>
  <si>
    <t>MPT</t>
  </si>
  <si>
    <t>luis.yzquierdo@gfpsubnacional.pe</t>
  </si>
  <si>
    <t>Eduardo Morales</t>
  </si>
  <si>
    <t>eduardo.morales</t>
  </si>
  <si>
    <t>eduardo.morales6128</t>
  </si>
  <si>
    <t>GORE Loreto</t>
  </si>
  <si>
    <t>eduardo.morales@gfpsubnacional.pe</t>
  </si>
  <si>
    <t>Felipe Lopez</t>
  </si>
  <si>
    <t>felipe.lopez</t>
  </si>
  <si>
    <t>felipe.lopez2025</t>
  </si>
  <si>
    <t>felipe.lopez@gfpsubnacional.pe</t>
  </si>
  <si>
    <t>Mariana León</t>
  </si>
  <si>
    <t>mariana.leon</t>
  </si>
  <si>
    <t>mariana.leon5123</t>
  </si>
  <si>
    <t>GORE San Martín</t>
  </si>
  <si>
    <t>mariana.leon@gfpsubnacional.pe</t>
  </si>
  <si>
    <t>Estrella Medina</t>
  </si>
  <si>
    <t>estrella.medina</t>
  </si>
  <si>
    <t>estrella.medina2277</t>
  </si>
  <si>
    <t>estrella.medina@gfpsubnacional.pe</t>
  </si>
  <si>
    <t>Judith Hernández</t>
  </si>
  <si>
    <t>judith.hernandez</t>
  </si>
  <si>
    <t>judith.hernandez7103</t>
  </si>
  <si>
    <t>GORE Cusco</t>
  </si>
  <si>
    <t>judith.hernandez@gfpsubnacional.pe</t>
  </si>
  <si>
    <t>Luis Gallegos</t>
  </si>
  <si>
    <t>luis.gallegos</t>
  </si>
  <si>
    <t>luis.gallegos9041</t>
  </si>
  <si>
    <t>luis.gallegos@gfpsubnacional.pe</t>
  </si>
  <si>
    <t>Usuario de Prueba</t>
  </si>
  <si>
    <t>prueba</t>
  </si>
  <si>
    <t>prueba@gfpsubnacional.pe</t>
  </si>
  <si>
    <t>prueba@hotmail.com</t>
  </si>
  <si>
    <t>nombre</t>
  </si>
  <si>
    <t>opcion1</t>
  </si>
  <si>
    <t>opcion2</t>
  </si>
  <si>
    <t>opcion3</t>
  </si>
  <si>
    <t>opcion4</t>
  </si>
  <si>
    <t>opcion5</t>
  </si>
  <si>
    <t>opcion6</t>
  </si>
  <si>
    <t>opcion7</t>
  </si>
  <si>
    <t>opcion8</t>
  </si>
  <si>
    <t>opcion9</t>
  </si>
  <si>
    <t>opcion10</t>
  </si>
  <si>
    <t>opcion11</t>
  </si>
  <si>
    <t>opcion12</t>
  </si>
  <si>
    <t>opcion13</t>
  </si>
  <si>
    <t>opcion14</t>
  </si>
  <si>
    <t>opcion15</t>
  </si>
  <si>
    <t>opcion16</t>
  </si>
  <si>
    <t>opcion17</t>
  </si>
  <si>
    <t>opcion18</t>
  </si>
  <si>
    <t>opcion19</t>
  </si>
  <si>
    <t>opcion20</t>
  </si>
  <si>
    <t>opcion21</t>
  </si>
  <si>
    <t>opcion22</t>
  </si>
  <si>
    <t>opcion23</t>
  </si>
  <si>
    <t>opcion24</t>
  </si>
  <si>
    <t>opcion25</t>
  </si>
  <si>
    <t>opcion26</t>
  </si>
  <si>
    <t>opcion27</t>
  </si>
  <si>
    <t>opcion28</t>
  </si>
  <si>
    <t>opcion29</t>
  </si>
  <si>
    <t>opcion30</t>
  </si>
  <si>
    <t>opcion31</t>
  </si>
  <si>
    <t>etapa</t>
  </si>
  <si>
    <t>Meta concluída</t>
  </si>
  <si>
    <t>Meta en proceso</t>
  </si>
  <si>
    <t>ambitos</t>
  </si>
  <si>
    <t>Ninguna</t>
  </si>
  <si>
    <t>Nacional</t>
  </si>
  <si>
    <t>Todas las regiones</t>
  </si>
  <si>
    <t>Todas las provincias</t>
  </si>
  <si>
    <t>Región Apurímac</t>
  </si>
  <si>
    <t>Región Cusco</t>
  </si>
  <si>
    <t>Región Lambayeque</t>
  </si>
  <si>
    <t>Región La Libertad</t>
  </si>
  <si>
    <t>Región Loreto</t>
  </si>
  <si>
    <t>Región Piura</t>
  </si>
  <si>
    <t>Región San Martin</t>
  </si>
  <si>
    <t>Provincia Abancay</t>
  </si>
  <si>
    <t>Provincia Cusco</t>
  </si>
  <si>
    <t>Provincia Maynas</t>
  </si>
  <si>
    <t>Provincia Trujillo</t>
  </si>
  <si>
    <t>Provincia Piura</t>
  </si>
  <si>
    <t>Provincia San Martin</t>
  </si>
  <si>
    <t>entidades</t>
  </si>
  <si>
    <t>Todos los GL</t>
  </si>
  <si>
    <t>Todos los GR</t>
  </si>
  <si>
    <t>Todos los GSN</t>
  </si>
  <si>
    <t>GRA</t>
  </si>
  <si>
    <t>GRC</t>
  </si>
  <si>
    <t>GRL</t>
  </si>
  <si>
    <t>GRLL</t>
  </si>
  <si>
    <t>GRLO</t>
  </si>
  <si>
    <t>GRP</t>
  </si>
  <si>
    <t>GRSM</t>
  </si>
  <si>
    <t>MPA</t>
  </si>
  <si>
    <t>MPC</t>
  </si>
  <si>
    <t>MPM</t>
  </si>
  <si>
    <t>Fiscalía</t>
  </si>
  <si>
    <t>Poder Judicial</t>
  </si>
  <si>
    <t>Procuraduría General del Estado</t>
  </si>
  <si>
    <t>Presidencia del Consejo de Ministros</t>
  </si>
  <si>
    <t>Contraloría General de la República</t>
  </si>
  <si>
    <t>Ministerio de Economía y Finanzas</t>
  </si>
  <si>
    <t>Ministerio de Vivienda</t>
  </si>
  <si>
    <t>Ministerio de Salud</t>
  </si>
  <si>
    <t>Ministerio de Educación</t>
  </si>
  <si>
    <t>ENAP</t>
  </si>
  <si>
    <t>SERFOR</t>
  </si>
  <si>
    <t>SERNANP</t>
  </si>
  <si>
    <t>OSINFOR</t>
  </si>
  <si>
    <t>masdeunconsultor</t>
  </si>
  <si>
    <t>Sí. Declaro que este es el único registro de la meta.</t>
  </si>
  <si>
    <t>No</t>
  </si>
  <si>
    <t>sino</t>
  </si>
  <si>
    <t>Sí</t>
  </si>
  <si>
    <t>estado</t>
  </si>
  <si>
    <t>Concluída</t>
  </si>
  <si>
    <t>En proceso</t>
  </si>
  <si>
    <t>Resultado_cod</t>
  </si>
  <si>
    <t>Producto_cod</t>
  </si>
  <si>
    <t>Tipo_producto_cod</t>
  </si>
  <si>
    <t>Nivel</t>
  </si>
  <si>
    <t>Entidad_p6</t>
  </si>
  <si>
    <t>Actividad_cod</t>
  </si>
  <si>
    <t>Actividad_name</t>
  </si>
  <si>
    <t>Actividad</t>
  </si>
  <si>
    <t>Unidad de medida</t>
  </si>
  <si>
    <t>ene_pl</t>
  </si>
  <si>
    <t>feb_pl</t>
  </si>
  <si>
    <t>mar_pl</t>
  </si>
  <si>
    <t>abr_pl</t>
  </si>
  <si>
    <t>may_pl</t>
  </si>
  <si>
    <t>jun_pl</t>
  </si>
  <si>
    <t>jul_pl</t>
  </si>
  <si>
    <t>ago_pl</t>
  </si>
  <si>
    <t>set_pl</t>
  </si>
  <si>
    <t>oct_pl</t>
  </si>
  <si>
    <t>nov_pl</t>
  </si>
  <si>
    <t>dic_pl</t>
  </si>
  <si>
    <t>Pl_total</t>
  </si>
  <si>
    <t>ene_ej</t>
  </si>
  <si>
    <t>feb_ej</t>
  </si>
  <si>
    <t>mar_ej</t>
  </si>
  <si>
    <t>abr_ej</t>
  </si>
  <si>
    <t>may_ej</t>
  </si>
  <si>
    <t>jun_ej</t>
  </si>
  <si>
    <t>jul_ej</t>
  </si>
  <si>
    <t>ago_ej</t>
  </si>
  <si>
    <t>set_ej</t>
  </si>
  <si>
    <t>oct_ej</t>
  </si>
  <si>
    <t>nov_ej</t>
  </si>
  <si>
    <t>dic_ej</t>
  </si>
  <si>
    <t>Ej_total</t>
  </si>
  <si>
    <t>R5.P5.1.1</t>
  </si>
  <si>
    <t>R5.P5.2.1</t>
  </si>
  <si>
    <t>R5.P5.2.2</t>
  </si>
  <si>
    <t>R5.P1.2.1</t>
  </si>
  <si>
    <t>R5.P1.3.1</t>
  </si>
  <si>
    <t>R5.P2.2.1</t>
  </si>
  <si>
    <t>R5.P2.4.1</t>
  </si>
  <si>
    <t>R5.P2.4.2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</si>
</sst>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4"/>
      <scheme val="minor"/>
    </font>
    <font>
      <sz val="8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9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  <font>
      <u/>
      <sz val="10"/>
      <color theme="10"/>
      <name val="Arial"/>
      <family val="2"/>
      <scheme val="minor"/>
    </font>
    <font>
      <b/>
      <sz val="9"/>
      <color theme="0"/>
      <name val="Arial"/>
    </font>
    <font>
      <b/>
      <sz val="9"/>
      <color theme="0"/>
      <name val="Arial"/>
      <family val="2"/>
    </font>
    <font>
      <b/>
      <sz val="9"/>
      <color rgb="FFFFC000"/>
      <name val="Arial"/>
      <family val="2"/>
    </font>
    <font>
      <b/>
      <u/>
      <sz val="9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indexed="64"/>
      </patternFill>
    </fill>
    <fill>
      <patternFill patternType="solid">
        <fgColor rgb="FFBDD1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8761D"/>
        <bgColor rgb="FF38761D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6" fillId="12" borderId="1" xfId="0" applyFont="1" applyFill="1" applyBorder="1" applyAlignment="1">
      <alignment horizontal="left" vertical="center"/>
    </xf>
    <xf numFmtId="0" fontId="6" fillId="10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5" fillId="8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8" fillId="0" borderId="0" xfId="3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1" applyFont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vertical="center" wrapText="1"/>
    </xf>
    <xf numFmtId="0" fontId="8" fillId="0" borderId="0" xfId="3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3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6" fillId="1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wrapText="1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 wrapText="1"/>
    </xf>
    <xf numFmtId="0" fontId="0" fillId="13" borderId="0" xfId="0" applyFill="1"/>
    <xf numFmtId="0" fontId="9" fillId="0" borderId="0" xfId="3" applyFont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2" fillId="0" borderId="0" xfId="0" applyFont="1"/>
    <xf numFmtId="0" fontId="0" fillId="14" borderId="0" xfId="0" applyFill="1"/>
    <xf numFmtId="0" fontId="13" fillId="14" borderId="0" xfId="0" applyFont="1" applyFill="1" applyAlignment="1">
      <alignment vertical="center"/>
    </xf>
    <xf numFmtId="0" fontId="1" fillId="14" borderId="0" xfId="0" applyFont="1" applyFill="1"/>
    <xf numFmtId="0" fontId="0" fillId="15" borderId="0" xfId="0" applyFill="1"/>
    <xf numFmtId="0" fontId="13" fillId="15" borderId="0" xfId="0" applyFont="1" applyFill="1" applyAlignment="1">
      <alignment vertical="center"/>
    </xf>
    <xf numFmtId="0" fontId="1" fillId="15" borderId="0" xfId="0" applyFont="1" applyFill="1"/>
    <xf numFmtId="0" fontId="13" fillId="13" borderId="0" xfId="0" applyFont="1" applyFill="1" applyAlignment="1">
      <alignment vertical="center"/>
    </xf>
    <xf numFmtId="0" fontId="1" fillId="13" borderId="0" xfId="0" applyFont="1" applyFill="1"/>
    <xf numFmtId="0" fontId="14" fillId="13" borderId="0" xfId="4" applyFill="1"/>
    <xf numFmtId="0" fontId="14" fillId="13" borderId="0" xfId="4" applyFill="1" applyAlignment="1"/>
    <xf numFmtId="0" fontId="13" fillId="0" borderId="0" xfId="0" applyFont="1" applyAlignment="1">
      <alignment vertical="center"/>
    </xf>
    <xf numFmtId="0" fontId="14" fillId="0" borderId="0" xfId="4" applyAlignment="1"/>
    <xf numFmtId="0" fontId="15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6" borderId="0" xfId="0" applyFont="1" applyFill="1" applyAlignment="1">
      <alignment vertical="center" wrapText="1"/>
    </xf>
    <xf numFmtId="0" fontId="18" fillId="3" borderId="0" xfId="0" applyFont="1" applyFill="1" applyAlignment="1">
      <alignment horizontal="left" vertical="center"/>
    </xf>
  </cellXfs>
  <cellStyles count="6">
    <cellStyle name="Hipervínculo 2" xfId="4" xr:uid="{55031A43-E477-423B-B456-2F8728E2007B}"/>
    <cellStyle name="Millares 2" xfId="5" xr:uid="{517FAA22-72F9-4AC3-8BC1-3CE699F6FF4F}"/>
    <cellStyle name="Normal" xfId="0" builtinId="0"/>
    <cellStyle name="Normal 2 2" xfId="3" xr:uid="{67CA2F6E-A7DF-46C9-AC54-F7D4007059D6}"/>
    <cellStyle name="Normal 3" xfId="2" xr:uid="{C4814CAD-6685-4F29-A8EA-397B2E8C55D5}"/>
    <cellStyle name="Normal 4" xfId="1" xr:uid="{081A440E-39F4-4DD0-ADE5-B667799F2522}"/>
  </cellStyles>
  <dxfs count="6">
    <dxf>
      <font>
        <b/>
        <i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b/>
        <i val="0"/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b/>
        <i val="0"/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BD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rueba@hotmail.com" TargetMode="External"/><Relationship Id="rId2" Type="http://schemas.openxmlformats.org/officeDocument/2006/relationships/hyperlink" Target="mailto:prueba@gfpsubnacional.pe" TargetMode="External"/><Relationship Id="rId1" Type="http://schemas.openxmlformats.org/officeDocument/2006/relationships/hyperlink" Target="mailto:jorge.rodas@gfpsubnacional.pe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sergio.jimenez@baselgovernance.or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49"/>
  <sheetViews>
    <sheetView topLeftCell="A140" zoomScale="59" zoomScaleNormal="120" zoomScaleSheetLayoutView="100" workbookViewId="0">
      <selection activeCell="A153" sqref="A153"/>
    </sheetView>
  </sheetViews>
  <sheetFormatPr baseColWidth="10" defaultColWidth="12.44140625" defaultRowHeight="21.9" customHeight="1"/>
  <cols>
    <col min="1" max="1" width="16.44140625" style="1" customWidth="1"/>
    <col min="2" max="8" width="20.77734375" style="1" customWidth="1"/>
    <col min="9" max="9" width="10.5546875" style="42" customWidth="1"/>
    <col min="10" max="11" width="59.33203125" style="8" customWidth="1"/>
    <col min="12" max="12" width="32.33203125" style="1" customWidth="1"/>
    <col min="13" max="13" width="19.109375" style="1" customWidth="1"/>
    <col min="14" max="14" width="21.6640625" style="1" customWidth="1"/>
    <col min="15" max="15" width="45.33203125" style="6" customWidth="1"/>
    <col min="16" max="27" width="5.109375" style="9" customWidth="1"/>
    <col min="28" max="28" width="9.44140625" style="9" customWidth="1"/>
    <col min="29" max="29" width="5.88671875" style="3" customWidth="1"/>
    <col min="30" max="16384" width="12.44140625" style="3"/>
  </cols>
  <sheetData>
    <row r="1" spans="1:41" customFormat="1" ht="21.75" customHeight="1" thickBot="1">
      <c r="A1" s="74" t="s">
        <v>879</v>
      </c>
      <c r="B1" s="75" t="s">
        <v>560</v>
      </c>
      <c r="C1" s="74" t="s">
        <v>880</v>
      </c>
      <c r="D1" s="75" t="s">
        <v>561</v>
      </c>
      <c r="E1" s="74" t="s">
        <v>881</v>
      </c>
      <c r="F1" s="75" t="s">
        <v>562</v>
      </c>
      <c r="G1" s="74" t="s">
        <v>882</v>
      </c>
      <c r="H1" s="75" t="s">
        <v>883</v>
      </c>
      <c r="I1" s="74" t="s">
        <v>884</v>
      </c>
      <c r="J1" s="75" t="s">
        <v>885</v>
      </c>
      <c r="K1" s="75" t="s">
        <v>886</v>
      </c>
      <c r="L1" s="74" t="s">
        <v>0</v>
      </c>
      <c r="M1" s="75" t="s">
        <v>887</v>
      </c>
      <c r="N1" s="74" t="s">
        <v>1</v>
      </c>
      <c r="O1" s="74" t="s">
        <v>2</v>
      </c>
      <c r="P1" s="76" t="s">
        <v>888</v>
      </c>
      <c r="Q1" s="76" t="s">
        <v>889</v>
      </c>
      <c r="R1" s="76" t="s">
        <v>890</v>
      </c>
      <c r="S1" s="76" t="s">
        <v>891</v>
      </c>
      <c r="T1" s="76" t="s">
        <v>892</v>
      </c>
      <c r="U1" s="76" t="s">
        <v>893</v>
      </c>
      <c r="V1" s="76" t="s">
        <v>894</v>
      </c>
      <c r="W1" s="76" t="s">
        <v>895</v>
      </c>
      <c r="X1" s="76" t="s">
        <v>896</v>
      </c>
      <c r="Y1" s="76" t="s">
        <v>897</v>
      </c>
      <c r="Z1" s="76" t="s">
        <v>898</v>
      </c>
      <c r="AA1" s="76" t="s">
        <v>899</v>
      </c>
      <c r="AB1" s="76" t="s">
        <v>900</v>
      </c>
      <c r="AC1" s="77" t="s">
        <v>901</v>
      </c>
      <c r="AD1" s="77" t="s">
        <v>902</v>
      </c>
      <c r="AE1" s="77" t="s">
        <v>903</v>
      </c>
      <c r="AF1" s="77" t="s">
        <v>904</v>
      </c>
      <c r="AG1" s="77" t="s">
        <v>905</v>
      </c>
      <c r="AH1" s="77" t="s">
        <v>906</v>
      </c>
      <c r="AI1" s="77" t="s">
        <v>907</v>
      </c>
      <c r="AJ1" s="77" t="s">
        <v>908</v>
      </c>
      <c r="AK1" s="77" t="s">
        <v>909</v>
      </c>
      <c r="AL1" s="77" t="s">
        <v>910</v>
      </c>
      <c r="AM1" s="77" t="s">
        <v>911</v>
      </c>
      <c r="AN1" s="77" t="s">
        <v>912</v>
      </c>
      <c r="AO1" s="77" t="s">
        <v>913</v>
      </c>
    </row>
    <row r="2" spans="1:41" ht="21.9" customHeight="1" thickBot="1">
      <c r="A2" s="4" t="s">
        <v>310</v>
      </c>
      <c r="B2" s="42" t="str">
        <f>IFERROR(CONCATENATE(A2,". ",VLOOKUP(A2,'results, prods y acts'!$A$2:$B$8,2,FALSE)),"")</f>
        <v>D1. Los procesos estratégicos y de soporte se realizan de forma eficaz y eficiente</v>
      </c>
      <c r="C2" s="5" t="s">
        <v>315</v>
      </c>
      <c r="D2" s="42" t="str">
        <f>IFERROR(CONCATENATE(C2,". ",VLOOKUP(C2,'results, prods y acts'!$D$2:$E$12,2,FALSE)),CONCATENATE(C2,". "))</f>
        <v>D1.1. Informes semestrales</v>
      </c>
      <c r="E2" s="42"/>
      <c r="F2" s="42"/>
      <c r="G2" s="42"/>
      <c r="H2" s="42"/>
      <c r="I2" s="7" t="s">
        <v>319</v>
      </c>
      <c r="J2" s="7" t="s">
        <v>261</v>
      </c>
      <c r="K2" s="7" t="str">
        <f>CONCATENATE(I2,". ",J2)</f>
        <v>D1.1.1. Envío a SECO</v>
      </c>
      <c r="L2" s="33" t="s">
        <v>262</v>
      </c>
      <c r="M2" s="33" t="s">
        <v>41</v>
      </c>
      <c r="N2" s="33" t="s">
        <v>263</v>
      </c>
      <c r="O2" s="7" t="s">
        <v>264</v>
      </c>
      <c r="Q2" s="9">
        <v>1</v>
      </c>
      <c r="W2" s="9">
        <v>1</v>
      </c>
      <c r="AB2" s="11">
        <f>SUM(P2:AA2)</f>
        <v>2</v>
      </c>
    </row>
    <row r="3" spans="1:41" ht="21.9" customHeight="1" thickBot="1">
      <c r="A3" s="4" t="s">
        <v>310</v>
      </c>
      <c r="B3" s="42" t="str">
        <f>IFERROR(CONCATENATE(A3,". ",VLOOKUP(A3,'results, prods y acts'!$A$2:$B$8,2,FALSE)),"")</f>
        <v>D1. Los procesos estratégicos y de soporte se realizan de forma eficaz y eficiente</v>
      </c>
      <c r="C3" s="5" t="s">
        <v>315</v>
      </c>
      <c r="D3" s="42" t="str">
        <f>IFERROR(CONCATENATE(C3,". ",VLOOKUP(C3,'results, prods y acts'!$D$2:$E$12,2,FALSE)),CONCATENATE(C3,". "))</f>
        <v>D1.1. Informes semestrales</v>
      </c>
      <c r="E3" s="42"/>
      <c r="F3" s="42"/>
      <c r="G3" s="42"/>
      <c r="H3" s="42"/>
      <c r="I3" s="7" t="s">
        <v>320</v>
      </c>
      <c r="J3" s="12" t="s">
        <v>265</v>
      </c>
      <c r="K3" s="7" t="str">
        <f t="shared" ref="K3:K66" si="0">CONCATENATE(I3,". ",J3)</f>
        <v>D1.1.2. Absolución de comentarios</v>
      </c>
      <c r="L3" s="33" t="s">
        <v>266</v>
      </c>
      <c r="M3" s="33" t="s">
        <v>41</v>
      </c>
      <c r="N3" s="33" t="s">
        <v>263</v>
      </c>
      <c r="O3" s="7" t="s">
        <v>264</v>
      </c>
      <c r="Q3" s="9">
        <v>1</v>
      </c>
      <c r="W3" s="9">
        <v>1</v>
      </c>
      <c r="AB3" s="11">
        <f>SUM(P3:AA3)</f>
        <v>2</v>
      </c>
    </row>
    <row r="4" spans="1:41" ht="23.4" thickBot="1">
      <c r="A4" s="4" t="s">
        <v>310</v>
      </c>
      <c r="B4" s="42" t="str">
        <f>IFERROR(CONCATENATE(A4,". ",VLOOKUP(A4,'results, prods y acts'!$A$2:$B$8,2,FALSE)),"")</f>
        <v>D1. Los procesos estratégicos y de soporte se realizan de forma eficaz y eficiente</v>
      </c>
      <c r="C4" s="5" t="s">
        <v>316</v>
      </c>
      <c r="D4" s="42" t="str">
        <f>IFERROR(CONCATENATE(C4,". ",VLOOKUP(C4,'results, prods y acts'!$D$2:$E$12,2,FALSE)),CONCATENATE(C4,". "))</f>
        <v>D1.2. Planificación Operativa</v>
      </c>
      <c r="E4" s="42"/>
      <c r="F4" s="42"/>
      <c r="G4" s="42"/>
      <c r="H4" s="42"/>
      <c r="I4" s="51" t="s">
        <v>321</v>
      </c>
      <c r="J4" s="12" t="s">
        <v>268</v>
      </c>
      <c r="K4" s="7" t="str">
        <f t="shared" si="0"/>
        <v>D1.2.1. Reuniones de trabajo con el equipo del Programa para el diseño y aprobación del POA</v>
      </c>
      <c r="L4" s="33" t="s">
        <v>269</v>
      </c>
      <c r="M4" s="33" t="s">
        <v>270</v>
      </c>
      <c r="N4" s="33" t="s">
        <v>263</v>
      </c>
      <c r="O4" s="7" t="s">
        <v>271</v>
      </c>
      <c r="AA4" s="9">
        <v>1</v>
      </c>
      <c r="AB4" s="11">
        <f>SUM(P4:AA4)</f>
        <v>1</v>
      </c>
    </row>
    <row r="5" spans="1:41" ht="21.9" customHeight="1" thickBot="1">
      <c r="A5" s="4" t="s">
        <v>310</v>
      </c>
      <c r="B5" s="42" t="str">
        <f>IFERROR(CONCATENATE(A5,". ",VLOOKUP(A5,'results, prods y acts'!$A$2:$B$8,2,FALSE)),"")</f>
        <v>D1. Los procesos estratégicos y de soporte se realizan de forma eficaz y eficiente</v>
      </c>
      <c r="C5" s="5" t="s">
        <v>317</v>
      </c>
      <c r="D5" s="42" t="str">
        <f>IFERROR(CONCATENATE(C5,". ",VLOOKUP(C5,'results, prods y acts'!$D$2:$E$12,2,FALSE)),CONCATENATE(C5,". "))</f>
        <v>D1.3. Monitoreo y Evaluación</v>
      </c>
      <c r="E5" s="42"/>
      <c r="F5" s="42"/>
      <c r="G5" s="42"/>
      <c r="H5" s="42"/>
      <c r="I5" s="6" t="s">
        <v>322</v>
      </c>
      <c r="J5" s="7" t="s">
        <v>273</v>
      </c>
      <c r="K5" s="7" t="str">
        <f t="shared" si="0"/>
        <v>D1.3.1. Reuniones mensuales de seguimiento</v>
      </c>
      <c r="L5" s="33" t="s">
        <v>33</v>
      </c>
      <c r="M5" s="33" t="s">
        <v>338</v>
      </c>
      <c r="N5" s="33" t="s">
        <v>274</v>
      </c>
      <c r="O5" s="7" t="s">
        <v>275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1">
        <f>SUM(P5:AA5)</f>
        <v>12</v>
      </c>
    </row>
    <row r="6" spans="1:41" ht="21.9" customHeight="1" thickBot="1">
      <c r="A6" s="4" t="s">
        <v>310</v>
      </c>
      <c r="B6" s="42" t="str">
        <f>IFERROR(CONCATENATE(A6,". ",VLOOKUP(A6,'results, prods y acts'!$A$2:$B$8,2,FALSE)),"")</f>
        <v>D1. Los procesos estratégicos y de soporte se realizan de forma eficaz y eficiente</v>
      </c>
      <c r="C6" s="5" t="s">
        <v>317</v>
      </c>
      <c r="D6" s="42" t="str">
        <f>IFERROR(CONCATENATE(C6,". ",VLOOKUP(C6,'results, prods y acts'!$D$2:$E$12,2,FALSE)),CONCATENATE(C6,". "))</f>
        <v>D1.3. Monitoreo y Evaluación</v>
      </c>
      <c r="E6" s="42"/>
      <c r="F6" s="42"/>
      <c r="G6" s="42"/>
      <c r="H6" s="42"/>
      <c r="I6" s="6" t="s">
        <v>323</v>
      </c>
      <c r="J6" s="7" t="s">
        <v>276</v>
      </c>
      <c r="K6" s="7" t="str">
        <f t="shared" si="0"/>
        <v>D1.3.2. Reuniones de identificación y gestión de riesgos</v>
      </c>
      <c r="L6" s="33" t="s">
        <v>33</v>
      </c>
      <c r="M6" s="33" t="s">
        <v>338</v>
      </c>
      <c r="N6" s="33" t="s">
        <v>274</v>
      </c>
      <c r="O6" s="7" t="s">
        <v>277</v>
      </c>
      <c r="Q6" s="9">
        <v>1</v>
      </c>
      <c r="W6" s="9">
        <v>1</v>
      </c>
      <c r="AB6" s="11">
        <f>SUM(P6:AA6)</f>
        <v>2</v>
      </c>
    </row>
    <row r="7" spans="1:41" ht="21.9" customHeight="1" thickBot="1">
      <c r="A7" s="4" t="s">
        <v>310</v>
      </c>
      <c r="B7" s="42" t="str">
        <f>IFERROR(CONCATENATE(A7,". ",VLOOKUP(A7,'results, prods y acts'!$A$2:$B$8,2,FALSE)),"")</f>
        <v>D1. Los procesos estratégicos y de soporte se realizan de forma eficaz y eficiente</v>
      </c>
      <c r="C7" s="5" t="s">
        <v>318</v>
      </c>
      <c r="D7" s="42" t="str">
        <f>IFERROR(CONCATENATE(C7,". ",VLOOKUP(C7,'results, prods y acts'!$D$2:$E$12,2,FALSE)),CONCATENATE(C7,". "))</f>
        <v>D1.4. Coordinación con socios, cooperantes y Programas de SECO</v>
      </c>
      <c r="E7" s="42"/>
      <c r="F7" s="42"/>
      <c r="G7" s="42"/>
      <c r="H7" s="42"/>
      <c r="I7" s="6" t="s">
        <v>326</v>
      </c>
      <c r="J7" s="13" t="s">
        <v>509</v>
      </c>
      <c r="K7" s="7" t="str">
        <f t="shared" si="0"/>
        <v>D1.4.1. Espacios de incidencia política</v>
      </c>
      <c r="L7" s="33" t="s">
        <v>33</v>
      </c>
      <c r="M7" s="33" t="s">
        <v>338</v>
      </c>
      <c r="N7" s="33" t="s">
        <v>274</v>
      </c>
      <c r="O7" s="7" t="s">
        <v>331</v>
      </c>
      <c r="U7" s="10">
        <v>1</v>
      </c>
      <c r="AA7" s="10">
        <v>1</v>
      </c>
      <c r="AB7" s="11">
        <f t="shared" ref="AB7:AB14" si="1">SUM(P7:AA7)</f>
        <v>2</v>
      </c>
    </row>
    <row r="8" spans="1:41" ht="21.9" customHeight="1" thickBot="1">
      <c r="A8" s="4" t="s">
        <v>310</v>
      </c>
      <c r="B8" s="42" t="str">
        <f>IFERROR(CONCATENATE(A8,". ",VLOOKUP(A8,'results, prods y acts'!$A$2:$B$8,2,FALSE)),"")</f>
        <v>D1. Los procesos estratégicos y de soporte se realizan de forma eficaz y eficiente</v>
      </c>
      <c r="C8" s="5" t="s">
        <v>318</v>
      </c>
      <c r="D8" s="42" t="str">
        <f>IFERROR(CONCATENATE(C8,". ",VLOOKUP(C8,'results, prods y acts'!$D$2:$E$12,2,FALSE)),CONCATENATE(C8,". "))</f>
        <v>D1.4. Coordinación con socios, cooperantes y Programas de SECO</v>
      </c>
      <c r="E8" s="42"/>
      <c r="F8" s="42"/>
      <c r="G8" s="42"/>
      <c r="H8" s="42"/>
      <c r="I8" s="6" t="s">
        <v>327</v>
      </c>
      <c r="J8" s="12" t="s">
        <v>279</v>
      </c>
      <c r="K8" s="7" t="str">
        <f t="shared" si="0"/>
        <v>D1.4.2. Reuniones del Comité de Piloteo con SECO y Basel Institute sede Suiza</v>
      </c>
      <c r="L8" s="33" t="s">
        <v>33</v>
      </c>
      <c r="M8" s="33" t="s">
        <v>338</v>
      </c>
      <c r="N8" s="33" t="s">
        <v>274</v>
      </c>
      <c r="O8" s="7" t="s">
        <v>280</v>
      </c>
      <c r="V8" s="9">
        <v>1</v>
      </c>
      <c r="Y8" s="9">
        <v>1</v>
      </c>
      <c r="AB8" s="11">
        <f t="shared" si="1"/>
        <v>2</v>
      </c>
    </row>
    <row r="9" spans="1:41" ht="57.6" thickBot="1">
      <c r="A9" s="4" t="s">
        <v>310</v>
      </c>
      <c r="B9" s="42" t="str">
        <f>IFERROR(CONCATENATE(A9,". ",VLOOKUP(A9,'results, prods y acts'!$A$2:$B$8,2,FALSE)),"")</f>
        <v>D1. Los procesos estratégicos y de soporte se realizan de forma eficaz y eficiente</v>
      </c>
      <c r="C9" s="5" t="s">
        <v>318</v>
      </c>
      <c r="D9" s="42" t="str">
        <f>IFERROR(CONCATENATE(C9,". ",VLOOKUP(C9,'results, prods y acts'!$D$2:$E$12,2,FALSE)),CONCATENATE(C9,". "))</f>
        <v>D1.4. Coordinación con socios, cooperantes y Programas de SECO</v>
      </c>
      <c r="E9" s="42"/>
      <c r="F9" s="42"/>
      <c r="G9" s="42"/>
      <c r="H9" s="42"/>
      <c r="I9" s="6" t="s">
        <v>328</v>
      </c>
      <c r="J9" s="14" t="s">
        <v>255</v>
      </c>
      <c r="K9" s="7" t="str">
        <f t="shared" si="0"/>
        <v>D1.4.3. Difusión de Asistencias Técnicas R1,R2,R3,R4, R5</v>
      </c>
      <c r="L9" s="34" t="s">
        <v>256</v>
      </c>
      <c r="M9" s="34" t="s">
        <v>41</v>
      </c>
      <c r="N9" s="34" t="s">
        <v>56</v>
      </c>
      <c r="O9" s="15" t="s">
        <v>258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1">
        <f t="shared" si="1"/>
        <v>12</v>
      </c>
    </row>
    <row r="10" spans="1:41" ht="57.6" thickBot="1">
      <c r="A10" s="4" t="s">
        <v>310</v>
      </c>
      <c r="B10" s="42" t="str">
        <f>IFERROR(CONCATENATE(A10,". ",VLOOKUP(A10,'results, prods y acts'!$A$2:$B$8,2,FALSE)),"")</f>
        <v>D1. Los procesos estratégicos y de soporte se realizan de forma eficaz y eficiente</v>
      </c>
      <c r="C10" s="5" t="s">
        <v>318</v>
      </c>
      <c r="D10" s="42" t="str">
        <f>IFERROR(CONCATENATE(C10,". ",VLOOKUP(C10,'results, prods y acts'!$D$2:$E$12,2,FALSE)),CONCATENATE(C10,". "))</f>
        <v>D1.4. Coordinación con socios, cooperantes y Programas de SECO</v>
      </c>
      <c r="E10" s="42"/>
      <c r="F10" s="42"/>
      <c r="G10" s="42"/>
      <c r="H10" s="42"/>
      <c r="I10" s="6" t="s">
        <v>329</v>
      </c>
      <c r="J10" s="14" t="s">
        <v>474</v>
      </c>
      <c r="K10" s="7" t="str">
        <f t="shared" si="0"/>
        <v>D1.4.4. Difusión de Capacitaciones/Fortalecimiento de Capacidades realizados por R1, R2,R3,R4,R5</v>
      </c>
      <c r="L10" s="34" t="s">
        <v>309</v>
      </c>
      <c r="M10" s="34" t="s">
        <v>41</v>
      </c>
      <c r="N10" s="34" t="s">
        <v>56</v>
      </c>
      <c r="O10" s="15" t="s">
        <v>259</v>
      </c>
      <c r="P10" s="17"/>
      <c r="Q10" s="17"/>
      <c r="R10" s="17"/>
      <c r="S10" s="16">
        <v>1</v>
      </c>
      <c r="T10" s="17"/>
      <c r="U10" s="17"/>
      <c r="V10" s="16">
        <v>1</v>
      </c>
      <c r="W10" s="16">
        <v>1</v>
      </c>
      <c r="X10" s="17"/>
      <c r="Y10" s="17"/>
      <c r="Z10" s="17"/>
      <c r="AA10" s="17"/>
      <c r="AB10" s="11">
        <f t="shared" si="1"/>
        <v>3</v>
      </c>
    </row>
    <row r="11" spans="1:41" ht="57.6" thickBot="1">
      <c r="A11" s="4" t="s">
        <v>310</v>
      </c>
      <c r="B11" s="42" t="str">
        <f>IFERROR(CONCATENATE(A11,". ",VLOOKUP(A11,'results, prods y acts'!$A$2:$B$8,2,FALSE)),"")</f>
        <v>D1. Los procesos estratégicos y de soporte se realizan de forma eficaz y eficiente</v>
      </c>
      <c r="C11" s="5" t="s">
        <v>318</v>
      </c>
      <c r="D11" s="42" t="str">
        <f>IFERROR(CONCATENATE(C11,". ",VLOOKUP(C11,'results, prods y acts'!$D$2:$E$12,2,FALSE)),CONCATENATE(C11,". "))</f>
        <v>D1.4. Coordinación con socios, cooperantes y Programas de SECO</v>
      </c>
      <c r="E11" s="42"/>
      <c r="F11" s="42"/>
      <c r="G11" s="42"/>
      <c r="H11" s="42"/>
      <c r="I11" s="6" t="s">
        <v>330</v>
      </c>
      <c r="J11" s="14" t="s">
        <v>257</v>
      </c>
      <c r="K11" s="7" t="str">
        <f t="shared" si="0"/>
        <v>D1.4.5. Difusión de Instrumentos de Mejora de la Gestión realizados por el Programa (R1,R2,R3,R4,R5)</v>
      </c>
      <c r="L11" s="34" t="s">
        <v>309</v>
      </c>
      <c r="M11" s="34" t="s">
        <v>41</v>
      </c>
      <c r="N11" s="34" t="s">
        <v>56</v>
      </c>
      <c r="O11" s="15" t="s">
        <v>258</v>
      </c>
      <c r="P11" s="17"/>
      <c r="Q11" s="17"/>
      <c r="R11" s="17"/>
      <c r="S11" s="17"/>
      <c r="T11" s="17"/>
      <c r="U11" s="17"/>
      <c r="V11" s="16">
        <v>1</v>
      </c>
      <c r="W11" s="17"/>
      <c r="X11" s="17"/>
      <c r="Y11" s="17"/>
      <c r="Z11" s="17"/>
      <c r="AA11" s="17"/>
      <c r="AB11" s="11">
        <f t="shared" si="1"/>
        <v>1</v>
      </c>
    </row>
    <row r="12" spans="1:41" ht="27.75" customHeight="1" thickBot="1">
      <c r="A12" s="4" t="s">
        <v>310</v>
      </c>
      <c r="B12" s="42" t="str">
        <f>IFERROR(CONCATENATE(A12,". ",VLOOKUP(A12,'results, prods y acts'!$A$2:$B$8,2,FALSE)),"")</f>
        <v>D1. Los procesos estratégicos y de soporte se realizan de forma eficaz y eficiente</v>
      </c>
      <c r="C12" s="5" t="s">
        <v>318</v>
      </c>
      <c r="D12" s="42" t="str">
        <f>IFERROR(CONCATENATE(C12,". ",VLOOKUP(C12,'results, prods y acts'!$D$2:$E$12,2,FALSE)),CONCATENATE(C12,". "))</f>
        <v>D1.4. Coordinación con socios, cooperantes y Programas de SECO</v>
      </c>
      <c r="E12" s="42"/>
      <c r="F12" s="42"/>
      <c r="G12" s="42"/>
      <c r="H12" s="42"/>
      <c r="I12" s="6" t="s">
        <v>333</v>
      </c>
      <c r="J12" s="14" t="s">
        <v>507</v>
      </c>
      <c r="K12" s="7" t="str">
        <f t="shared" si="0"/>
        <v>D1.4.7. Visitas técnicas a los GSN (GR y MP)</v>
      </c>
      <c r="L12" s="34" t="s">
        <v>508</v>
      </c>
      <c r="M12" s="34" t="s">
        <v>31</v>
      </c>
      <c r="N12" s="34" t="s">
        <v>233</v>
      </c>
      <c r="O12" s="15" t="s">
        <v>479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7">
        <v>1</v>
      </c>
      <c r="W12" s="17">
        <v>1</v>
      </c>
      <c r="X12" s="17">
        <v>1</v>
      </c>
      <c r="Y12" s="17">
        <v>1</v>
      </c>
      <c r="Z12" s="17">
        <v>1</v>
      </c>
      <c r="AA12" s="17">
        <v>1</v>
      </c>
      <c r="AB12" s="11">
        <f>SUM(P12:AA12)</f>
        <v>12</v>
      </c>
    </row>
    <row r="13" spans="1:41" ht="46.2" thickBot="1">
      <c r="A13" s="4" t="s">
        <v>310</v>
      </c>
      <c r="B13" s="42" t="str">
        <f>IFERROR(CONCATENATE(A13,". ",VLOOKUP(A13,'results, prods y acts'!$A$2:$B$8,2,FALSE)),"")</f>
        <v>D1. Los procesos estratégicos y de soporte se realizan de forma eficaz y eficiente</v>
      </c>
      <c r="C13" s="5" t="s">
        <v>318</v>
      </c>
      <c r="D13" s="42" t="str">
        <f>IFERROR(CONCATENATE(C13,". ",VLOOKUP(C13,'results, prods y acts'!$D$2:$E$12,2,FALSE)),CONCATENATE(C13,". "))</f>
        <v>D1.4. Coordinación con socios, cooperantes y Programas de SECO</v>
      </c>
      <c r="E13" s="42"/>
      <c r="F13" s="42"/>
      <c r="G13" s="42"/>
      <c r="H13" s="42"/>
      <c r="I13" s="6" t="s">
        <v>332</v>
      </c>
      <c r="J13" s="14" t="s">
        <v>505</v>
      </c>
      <c r="K13" s="7" t="str">
        <f t="shared" si="0"/>
        <v>D1.4.6. Reuniones de coordinación con gerentes clave (Planeamiento y Presupuesto) de los GR</v>
      </c>
      <c r="L13" s="34" t="s">
        <v>506</v>
      </c>
      <c r="M13" s="34" t="s">
        <v>31</v>
      </c>
      <c r="N13" s="34" t="s">
        <v>233</v>
      </c>
      <c r="O13" s="15" t="s">
        <v>480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7"/>
      <c r="W13" s="17"/>
      <c r="X13" s="17"/>
      <c r="Y13" s="17"/>
      <c r="Z13" s="17"/>
      <c r="AA13" s="17"/>
      <c r="AB13" s="11">
        <f t="shared" si="1"/>
        <v>6</v>
      </c>
    </row>
    <row r="14" spans="1:41" ht="34.799999999999997" thickBot="1">
      <c r="A14" s="4" t="s">
        <v>310</v>
      </c>
      <c r="B14" s="42" t="str">
        <f>IFERROR(CONCATENATE(A14,". ",VLOOKUP(A14,'results, prods y acts'!$A$2:$B$8,2,FALSE)),"")</f>
        <v>D1. Los procesos estratégicos y de soporte se realizan de forma eficaz y eficiente</v>
      </c>
      <c r="C14" s="5" t="s">
        <v>318</v>
      </c>
      <c r="D14" s="42" t="str">
        <f>IFERROR(CONCATENATE(C14,". ",VLOOKUP(C14,'results, prods y acts'!$D$2:$E$12,2,FALSE)),CONCATENATE(C14,". "))</f>
        <v>D1.4. Coordinación con socios, cooperantes y Programas de SECO</v>
      </c>
      <c r="E14" s="42"/>
      <c r="F14" s="42"/>
      <c r="G14" s="42"/>
      <c r="H14" s="42"/>
      <c r="I14" s="6" t="s">
        <v>475</v>
      </c>
      <c r="J14" s="14" t="s">
        <v>476</v>
      </c>
      <c r="K14" s="7" t="str">
        <f t="shared" si="0"/>
        <v xml:space="preserve">D1.4.8. Reuniones estratégicas con candidatos a autoridades subnacionales </v>
      </c>
      <c r="L14" s="34" t="s">
        <v>477</v>
      </c>
      <c r="M14" s="34" t="s">
        <v>31</v>
      </c>
      <c r="N14" s="34" t="s">
        <v>233</v>
      </c>
      <c r="O14" s="15" t="s">
        <v>478</v>
      </c>
      <c r="P14" s="17"/>
      <c r="Q14" s="17"/>
      <c r="R14" s="17"/>
      <c r="S14" s="17"/>
      <c r="T14" s="17"/>
      <c r="U14" s="17"/>
      <c r="V14" s="17"/>
      <c r="W14" s="17">
        <v>1</v>
      </c>
      <c r="X14" s="16">
        <v>1</v>
      </c>
      <c r="Y14" s="17">
        <v>1</v>
      </c>
      <c r="Z14" s="17">
        <v>1</v>
      </c>
      <c r="AA14" s="17">
        <v>1</v>
      </c>
      <c r="AB14" s="11">
        <f t="shared" si="1"/>
        <v>5</v>
      </c>
    </row>
    <row r="15" spans="1:41" ht="23.4" thickBot="1">
      <c r="A15" s="4" t="s">
        <v>310</v>
      </c>
      <c r="B15" s="42" t="str">
        <f>IFERROR(CONCATENATE(A15,". ",VLOOKUP(A15,'results, prods y acts'!$A$2:$B$8,2,FALSE)),"")</f>
        <v>D1. Los procesos estratégicos y de soporte se realizan de forma eficaz y eficiente</v>
      </c>
      <c r="C15" s="5" t="s">
        <v>324</v>
      </c>
      <c r="D15" s="42" t="str">
        <f>IFERROR(CONCATENATE(C15,". ",VLOOKUP(C15,'results, prods y acts'!$D$2:$E$12,2,FALSE)),CONCATENATE(C15,". "))</f>
        <v>D1.5. Evaluación de los GSN</v>
      </c>
      <c r="E15" s="42"/>
      <c r="F15" s="42"/>
      <c r="G15" s="42"/>
      <c r="H15" s="42"/>
      <c r="I15" s="6" t="s">
        <v>334</v>
      </c>
      <c r="J15" s="12" t="s">
        <v>286</v>
      </c>
      <c r="K15" s="7" t="str">
        <f t="shared" si="0"/>
        <v>D1.5.1. Diseño de la metodología de evaluación de las finanzas públicas en GSN</v>
      </c>
      <c r="L15" s="33" t="s">
        <v>282</v>
      </c>
      <c r="M15" s="33" t="s">
        <v>56</v>
      </c>
      <c r="N15" s="1" t="s">
        <v>41</v>
      </c>
      <c r="O15" s="7" t="s">
        <v>283</v>
      </c>
      <c r="T15" s="9">
        <v>1</v>
      </c>
      <c r="AB15" s="11">
        <f>SUM(P15:AA15)</f>
        <v>1</v>
      </c>
    </row>
    <row r="16" spans="1:41" ht="32.25" customHeight="1">
      <c r="A16" s="4" t="s">
        <v>310</v>
      </c>
      <c r="B16" s="42" t="str">
        <f>IFERROR(CONCATENATE(A16,". ",VLOOKUP(A16,'results, prods y acts'!$A$2:$B$8,2,FALSE)),"")</f>
        <v>D1. Los procesos estratégicos y de soporte se realizan de forma eficaz y eficiente</v>
      </c>
      <c r="C16" s="5" t="s">
        <v>325</v>
      </c>
      <c r="D16" s="42" t="str">
        <f>IFERROR(CONCATENATE(C16,". ",VLOOKUP(C16,'results, prods y acts'!$D$2:$E$12,2,FALSE)),CONCATENATE(C16,". "))</f>
        <v>D1.6. Gestión del Conocimiento y Sostenibilidad</v>
      </c>
      <c r="E16" s="42"/>
      <c r="F16" s="42"/>
      <c r="G16" s="42"/>
      <c r="H16" s="42"/>
      <c r="I16" s="6" t="s">
        <v>335</v>
      </c>
      <c r="J16" s="12" t="s">
        <v>510</v>
      </c>
      <c r="K16" s="7" t="str">
        <f t="shared" si="0"/>
        <v>D1.6.1. Revisión y aprobación de publicaciones</v>
      </c>
      <c r="L16" s="33" t="s">
        <v>262</v>
      </c>
      <c r="M16" s="33" t="s">
        <v>41</v>
      </c>
      <c r="N16" s="1" t="s">
        <v>366</v>
      </c>
      <c r="O16" s="7" t="s">
        <v>285</v>
      </c>
      <c r="U16" s="10">
        <v>2</v>
      </c>
      <c r="AA16" s="10">
        <v>3</v>
      </c>
      <c r="AB16" s="11">
        <f>SUM(P16:AA16)</f>
        <v>5</v>
      </c>
    </row>
    <row r="17" spans="1:28" ht="22.8">
      <c r="A17" s="18" t="s">
        <v>3</v>
      </c>
      <c r="B17" s="42" t="str">
        <f>IFERROR(CONCATENATE(A17,". ",VLOOKUP(A17,'results, prods y acts'!$A$2:$B$8,2,FALSE)),"")</f>
        <v>R1. Los procesos de gestión de gasto corriente vinculados a los servicios básicos priorizados a cargo de los GSN son más eficaces y eficientes</v>
      </c>
      <c r="C17" s="21" t="s">
        <v>5</v>
      </c>
      <c r="D17" s="42" t="str">
        <f>IFERROR(CONCATENATE(C17,". ",VLOOKUP(C17,'results, prods y acts'!$D$2:$E$12,2,FALSE)),CONCATENATE(C17,". "))</f>
        <v>P1. Asistencia técnica</v>
      </c>
      <c r="E17" s="42" t="str" cm="1">
        <f t="array" ref="E17">IFERROR(INDEX(_xlfn.TEXTSPLIT(I17,"."),2)&amp;"."&amp;INDEX(_xlfn.TEXTSPLIT(I17,"."),3),"")</f>
        <v>P1.1</v>
      </c>
      <c r="F17" s="42" t="str">
        <f>IFERROR(CONCATENATE(E17,". ",VLOOKUP(E17,'results, prods y acts'!$G$2:$H$16,2,FALSE)),"")</f>
        <v>P1.1. Taller</v>
      </c>
      <c r="G17" s="20" t="s">
        <v>4</v>
      </c>
      <c r="H17" s="20"/>
      <c r="I17" s="22" t="s">
        <v>73</v>
      </c>
      <c r="J17" s="12" t="s">
        <v>542</v>
      </c>
      <c r="K17" s="7" t="str">
        <f t="shared" si="0"/>
        <v>R1.P1.1.1. Taller en la gestión de la programación, contrataciones y almacén</v>
      </c>
      <c r="L17" s="33" t="s">
        <v>72</v>
      </c>
      <c r="M17" s="33" t="s">
        <v>65</v>
      </c>
      <c r="N17" s="33" t="s">
        <v>74</v>
      </c>
      <c r="O17" s="7" t="s">
        <v>481</v>
      </c>
      <c r="P17" s="23"/>
      <c r="Q17" s="24">
        <v>1</v>
      </c>
      <c r="R17" s="25"/>
      <c r="S17" s="25">
        <v>1</v>
      </c>
      <c r="T17" s="25"/>
      <c r="U17" s="25"/>
      <c r="V17" s="25"/>
      <c r="W17" s="25"/>
      <c r="X17" s="25"/>
      <c r="Y17" s="25"/>
      <c r="Z17" s="25"/>
      <c r="AA17" s="25"/>
      <c r="AB17" s="11">
        <f t="shared" ref="AB17:AB32" si="2">SUM(P17:AA17)</f>
        <v>2</v>
      </c>
    </row>
    <row r="18" spans="1:28" ht="34.200000000000003">
      <c r="A18" s="18" t="s">
        <v>3</v>
      </c>
      <c r="B18" s="42" t="str">
        <f>IFERROR(CONCATENATE(A18,". ",VLOOKUP(A18,'results, prods y acts'!$A$2:$B$8,2,FALSE)),"")</f>
        <v>R1. Los procesos de gestión de gasto corriente vinculados a los servicios básicos priorizados a cargo de los GSN son más eficaces y eficientes</v>
      </c>
      <c r="C18" s="21" t="s">
        <v>5</v>
      </c>
      <c r="D18" s="42" t="str">
        <f>IFERROR(CONCATENATE(C18,". ",VLOOKUP(C18,'results, prods y acts'!$D$2:$E$12,2,FALSE)),CONCATENATE(C18,". "))</f>
        <v>P1. Asistencia técnica</v>
      </c>
      <c r="E18" s="42" t="str" cm="1">
        <f t="array" ref="E18">IFERROR(INDEX(_xlfn.TEXTSPLIT(I18,"."),2)&amp;"."&amp;INDEX(_xlfn.TEXTSPLIT(I18,"."),3),"")</f>
        <v>P1.2</v>
      </c>
      <c r="F18" s="42" t="str">
        <f>IFERROR(CONCATENATE(E18,". ",VLOOKUP(E18,'results, prods y acts'!$G$2:$H$16,2,FALSE)),"")</f>
        <v>P1.2. Acompañamiento</v>
      </c>
      <c r="G18" s="20" t="s">
        <v>4</v>
      </c>
      <c r="H18" s="20"/>
      <c r="I18" s="22" t="s">
        <v>66</v>
      </c>
      <c r="J18" s="12" t="s">
        <v>516</v>
      </c>
      <c r="K18" s="7" t="str">
        <f t="shared" si="0"/>
        <v xml:space="preserve">R1.P1.2.1. Acompañamiento a los GSN en el proceso de programación de la demanda de bienes y servicios relacionados a servicios priorizados en educación y salud </v>
      </c>
      <c r="L18" s="33" t="s">
        <v>8</v>
      </c>
      <c r="M18" s="33" t="s">
        <v>9</v>
      </c>
      <c r="N18" s="33" t="s">
        <v>18</v>
      </c>
      <c r="O18" s="7" t="s">
        <v>19</v>
      </c>
      <c r="P18" s="24">
        <v>5</v>
      </c>
      <c r="Q18" s="24">
        <v>4</v>
      </c>
      <c r="R18" s="24">
        <v>2</v>
      </c>
      <c r="S18" s="24">
        <v>4</v>
      </c>
      <c r="T18" s="24">
        <v>4</v>
      </c>
      <c r="U18" s="25"/>
      <c r="V18" s="24">
        <v>1</v>
      </c>
      <c r="W18" s="24">
        <v>2</v>
      </c>
      <c r="X18" s="24">
        <v>3</v>
      </c>
      <c r="Y18" s="24">
        <v>4</v>
      </c>
      <c r="Z18" s="24">
        <v>1</v>
      </c>
      <c r="AA18" s="25"/>
      <c r="AB18" s="11">
        <f t="shared" si="2"/>
        <v>30</v>
      </c>
    </row>
    <row r="19" spans="1:28" ht="34.200000000000003">
      <c r="A19" s="18" t="s">
        <v>3</v>
      </c>
      <c r="B19" s="42" t="str">
        <f>IFERROR(CONCATENATE(A19,". ",VLOOKUP(A19,'results, prods y acts'!$A$2:$B$8,2,FALSE)),"")</f>
        <v>R1. Los procesos de gestión de gasto corriente vinculados a los servicios básicos priorizados a cargo de los GSN son más eficaces y eficientes</v>
      </c>
      <c r="C19" s="21" t="s">
        <v>5</v>
      </c>
      <c r="D19" s="42" t="str">
        <f>IFERROR(CONCATENATE(C19,". ",VLOOKUP(C19,'results, prods y acts'!$D$2:$E$12,2,FALSE)),CONCATENATE(C19,". "))</f>
        <v>P1. Asistencia técnica</v>
      </c>
      <c r="E19" s="42" t="str" cm="1">
        <f t="array" ref="E19">IFERROR(INDEX(_xlfn.TEXTSPLIT(I19,"."),2)&amp;"."&amp;INDEX(_xlfn.TEXTSPLIT(I19,"."),3),"")</f>
        <v>P1.2</v>
      </c>
      <c r="F19" s="42" t="str">
        <f>IFERROR(CONCATENATE(E19,". ",VLOOKUP(E19,'results, prods y acts'!$G$2:$H$16,2,FALSE)),"")</f>
        <v>P1.2. Acompañamiento</v>
      </c>
      <c r="G19" s="20" t="s">
        <v>4</v>
      </c>
      <c r="H19" s="20"/>
      <c r="I19" s="22" t="s">
        <v>7</v>
      </c>
      <c r="J19" s="12" t="s">
        <v>97</v>
      </c>
      <c r="K19" s="7" t="str">
        <f t="shared" si="0"/>
        <v>R1.P1.2.2. Acompañamiento a los GSN en las fases de los procesos de contratación de bienes y servicios relacionados al transporte y distribución de vacunas y Sulfato Ferroso</v>
      </c>
      <c r="L19" s="33" t="s">
        <v>8</v>
      </c>
      <c r="M19" s="33" t="s">
        <v>12</v>
      </c>
      <c r="N19" s="33" t="s">
        <v>10</v>
      </c>
      <c r="O19" s="7" t="s">
        <v>22</v>
      </c>
      <c r="P19" s="23">
        <v>1</v>
      </c>
      <c r="Q19" s="24">
        <v>1</v>
      </c>
      <c r="R19" s="24">
        <v>3</v>
      </c>
      <c r="S19" s="24">
        <v>1</v>
      </c>
      <c r="T19" s="24">
        <v>1</v>
      </c>
      <c r="U19" s="24">
        <v>2</v>
      </c>
      <c r="V19" s="24">
        <v>2</v>
      </c>
      <c r="W19" s="25"/>
      <c r="X19" s="25"/>
      <c r="Y19" s="24">
        <v>3</v>
      </c>
      <c r="Z19" s="24">
        <v>2</v>
      </c>
      <c r="AA19" s="25"/>
      <c r="AB19" s="11">
        <f t="shared" si="2"/>
        <v>16</v>
      </c>
    </row>
    <row r="20" spans="1:28" ht="34.200000000000003">
      <c r="A20" s="18" t="s">
        <v>3</v>
      </c>
      <c r="B20" s="42" t="str">
        <f>IFERROR(CONCATENATE(A20,". ",VLOOKUP(A20,'results, prods y acts'!$A$2:$B$8,2,FALSE)),"")</f>
        <v>R1. Los procesos de gestión de gasto corriente vinculados a los servicios básicos priorizados a cargo de los GSN son más eficaces y eficientes</v>
      </c>
      <c r="C20" s="21" t="s">
        <v>5</v>
      </c>
      <c r="D20" s="42" t="str">
        <f>IFERROR(CONCATENATE(C20,". ",VLOOKUP(C20,'results, prods y acts'!$D$2:$E$12,2,FALSE)),CONCATENATE(C20,". "))</f>
        <v>P1. Asistencia técnica</v>
      </c>
      <c r="E20" s="42" t="str" cm="1">
        <f t="array" ref="E20">IFERROR(INDEX(_xlfn.TEXTSPLIT(I20,"."),2)&amp;"."&amp;INDEX(_xlfn.TEXTSPLIT(I20,"."),3),"")</f>
        <v>P1.2</v>
      </c>
      <c r="F20" s="42" t="str">
        <f>IFERROR(CONCATENATE(E20,". ",VLOOKUP(E20,'results, prods y acts'!$G$2:$H$16,2,FALSE)),"")</f>
        <v>P1.2. Acompañamiento</v>
      </c>
      <c r="G20" s="20" t="s">
        <v>4</v>
      </c>
      <c r="H20" s="20"/>
      <c r="I20" s="22" t="s">
        <v>11</v>
      </c>
      <c r="J20" s="12" t="s">
        <v>23</v>
      </c>
      <c r="K20" s="7" t="str">
        <f t="shared" si="0"/>
        <v>R1.P1.2.3. Acompañamiento en el seguimiento del proceso de distribución de vacunas, registro oportuno de entradas y salidas (Neas y PECOSAS) de las vacunas.</v>
      </c>
      <c r="L20" s="33" t="s">
        <v>8</v>
      </c>
      <c r="M20" s="33" t="s">
        <v>9</v>
      </c>
      <c r="N20" s="33" t="s">
        <v>10</v>
      </c>
      <c r="O20" s="7" t="s">
        <v>24</v>
      </c>
      <c r="P20" s="24">
        <v>2</v>
      </c>
      <c r="Q20" s="24">
        <v>4</v>
      </c>
      <c r="R20" s="24">
        <v>2</v>
      </c>
      <c r="S20" s="25"/>
      <c r="T20" s="24">
        <v>1</v>
      </c>
      <c r="U20" s="24">
        <v>4</v>
      </c>
      <c r="V20" s="24">
        <v>3</v>
      </c>
      <c r="W20" s="25"/>
      <c r="X20" s="24">
        <v>2</v>
      </c>
      <c r="Y20" s="25"/>
      <c r="Z20" s="24">
        <v>3</v>
      </c>
      <c r="AA20" s="24">
        <v>2</v>
      </c>
      <c r="AB20" s="11">
        <f t="shared" si="2"/>
        <v>23</v>
      </c>
    </row>
    <row r="21" spans="1:28" ht="34.200000000000003">
      <c r="A21" s="18" t="s">
        <v>3</v>
      </c>
      <c r="B21" s="42" t="str">
        <f>IFERROR(CONCATENATE(A21,". ",VLOOKUP(A21,'results, prods y acts'!$A$2:$B$8,2,FALSE)),"")</f>
        <v>R1. Los procesos de gestión de gasto corriente vinculados a los servicios básicos priorizados a cargo de los GSN son más eficaces y eficientes</v>
      </c>
      <c r="C21" s="21" t="s">
        <v>5</v>
      </c>
      <c r="D21" s="42" t="str">
        <f>IFERROR(CONCATENATE(C21,". ",VLOOKUP(C21,'results, prods y acts'!$D$2:$E$12,2,FALSE)),CONCATENATE(C21,". "))</f>
        <v>P1. Asistencia técnica</v>
      </c>
      <c r="E21" s="42" t="str" cm="1">
        <f t="array" ref="E21">IFERROR(INDEX(_xlfn.TEXTSPLIT(I21,"."),2)&amp;"."&amp;INDEX(_xlfn.TEXTSPLIT(I21,"."),3),"")</f>
        <v>P1.2</v>
      </c>
      <c r="F21" s="42" t="str">
        <f>IFERROR(CONCATENATE(E21,". ",VLOOKUP(E21,'results, prods y acts'!$G$2:$H$16,2,FALSE)),"")</f>
        <v>P1.2. Acompañamiento</v>
      </c>
      <c r="G21" s="20" t="s">
        <v>4</v>
      </c>
      <c r="H21" s="20"/>
      <c r="I21" s="22" t="s">
        <v>13</v>
      </c>
      <c r="J21" s="7" t="s">
        <v>67</v>
      </c>
      <c r="K21" s="7" t="str">
        <f t="shared" si="0"/>
        <v>R1.P1.2.4. Acompañamiento en el seguimiento del proceso de distribución del sulfato ferroso y verificación del registro oportuno de entradas y salidas  (Neas y PECOSAS) del sulfato ferroso</v>
      </c>
      <c r="L21" s="33" t="s">
        <v>8</v>
      </c>
      <c r="M21" s="33" t="s">
        <v>9</v>
      </c>
      <c r="N21" s="33" t="s">
        <v>10</v>
      </c>
      <c r="O21" s="7" t="s">
        <v>71</v>
      </c>
      <c r="P21" s="24">
        <v>1</v>
      </c>
      <c r="Q21" s="24">
        <v>2</v>
      </c>
      <c r="R21" s="24">
        <v>4</v>
      </c>
      <c r="S21" s="25"/>
      <c r="T21" s="24">
        <v>1</v>
      </c>
      <c r="U21" s="24">
        <v>3</v>
      </c>
      <c r="V21" s="24">
        <v>3</v>
      </c>
      <c r="W21" s="25"/>
      <c r="X21" s="24">
        <v>2</v>
      </c>
      <c r="Y21" s="24">
        <v>2</v>
      </c>
      <c r="Z21" s="24">
        <v>3</v>
      </c>
      <c r="AA21" s="24">
        <v>1</v>
      </c>
      <c r="AB21" s="11">
        <f t="shared" si="2"/>
        <v>22</v>
      </c>
    </row>
    <row r="22" spans="1:28" ht="34.200000000000003">
      <c r="A22" s="18" t="s">
        <v>3</v>
      </c>
      <c r="B22" s="42" t="str">
        <f>IFERROR(CONCATENATE(A22,". ",VLOOKUP(A22,'results, prods y acts'!$A$2:$B$8,2,FALSE)),"")</f>
        <v>R1. Los procesos de gestión de gasto corriente vinculados a los servicios básicos priorizados a cargo de los GSN son más eficaces y eficientes</v>
      </c>
      <c r="C22" s="21" t="s">
        <v>5</v>
      </c>
      <c r="D22" s="42" t="str">
        <f>IFERROR(CONCATENATE(C22,". ",VLOOKUP(C22,'results, prods y acts'!$D$2:$E$12,2,FALSE)),CONCATENATE(C22,". "))</f>
        <v>P1. Asistencia técnica</v>
      </c>
      <c r="E22" s="42" t="str" cm="1">
        <f t="array" ref="E22">IFERROR(INDEX(_xlfn.TEXTSPLIT(I22,"."),2)&amp;"."&amp;INDEX(_xlfn.TEXTSPLIT(I22,"."),3),"")</f>
        <v>P1.2</v>
      </c>
      <c r="F22" s="42" t="str">
        <f>IFERROR(CONCATENATE(E22,". ",VLOOKUP(E22,'results, prods y acts'!$G$2:$H$16,2,FALSE)),"")</f>
        <v>P1.2. Acompañamiento</v>
      </c>
      <c r="G22" s="20" t="s">
        <v>4</v>
      </c>
      <c r="H22" s="20"/>
      <c r="I22" s="22" t="s">
        <v>14</v>
      </c>
      <c r="J22" s="12" t="s">
        <v>25</v>
      </c>
      <c r="K22" s="7" t="str">
        <f t="shared" si="0"/>
        <v>R1.P1.2.5. Acompañamiento a los GSN en las fases de los procesos de contratación de bienes y servicios relacionados al transporte y distribución de material educativo.</v>
      </c>
      <c r="L22" s="33" t="s">
        <v>8</v>
      </c>
      <c r="M22" s="33" t="s">
        <v>9</v>
      </c>
      <c r="N22" s="33" t="s">
        <v>10</v>
      </c>
      <c r="O22" s="7" t="s">
        <v>22</v>
      </c>
      <c r="P22" s="24">
        <v>1</v>
      </c>
      <c r="Q22" s="24">
        <v>11</v>
      </c>
      <c r="R22" s="24">
        <v>1</v>
      </c>
      <c r="S22" s="25"/>
      <c r="T22" s="25"/>
      <c r="U22" s="25"/>
      <c r="V22" s="25">
        <v>1</v>
      </c>
      <c r="W22" s="25">
        <v>2</v>
      </c>
      <c r="X22" s="25"/>
      <c r="Y22" s="25"/>
      <c r="Z22" s="24">
        <v>9</v>
      </c>
      <c r="AA22" s="24">
        <v>1</v>
      </c>
      <c r="AB22" s="11">
        <f t="shared" si="2"/>
        <v>26</v>
      </c>
    </row>
    <row r="23" spans="1:28" ht="34.200000000000003">
      <c r="A23" s="18" t="s">
        <v>3</v>
      </c>
      <c r="B23" s="42" t="str">
        <f>IFERROR(CONCATENATE(A23,". ",VLOOKUP(A23,'results, prods y acts'!$A$2:$B$8,2,FALSE)),"")</f>
        <v>R1. Los procesos de gestión de gasto corriente vinculados a los servicios básicos priorizados a cargo de los GSN son más eficaces y eficientes</v>
      </c>
      <c r="C23" s="21" t="s">
        <v>5</v>
      </c>
      <c r="D23" s="42" t="str">
        <f>IFERROR(CONCATENATE(C23,". ",VLOOKUP(C23,'results, prods y acts'!$D$2:$E$12,2,FALSE)),CONCATENATE(C23,". "))</f>
        <v>P1. Asistencia técnica</v>
      </c>
      <c r="E23" s="42" t="str" cm="1">
        <f t="array" ref="E23">IFERROR(INDEX(_xlfn.TEXTSPLIT(I23,"."),2)&amp;"."&amp;INDEX(_xlfn.TEXTSPLIT(I23,"."),3),"")</f>
        <v>P1.2</v>
      </c>
      <c r="F23" s="42" t="str">
        <f>IFERROR(CONCATENATE(E23,". ",VLOOKUP(E23,'results, prods y acts'!$G$2:$H$16,2,FALSE)),"")</f>
        <v>P1.2. Acompañamiento</v>
      </c>
      <c r="G23" s="20" t="s">
        <v>4</v>
      </c>
      <c r="H23" s="20"/>
      <c r="I23" s="22" t="s">
        <v>15</v>
      </c>
      <c r="J23" s="12" t="s">
        <v>26</v>
      </c>
      <c r="K23" s="7" t="str">
        <f t="shared" si="0"/>
        <v>R1.P1.2.6. Acompañamiento en el seguimiento del proceso de distribución del material educativo y verificación del registro oportuno de entradas y salidas  (Neas y PECOSAS) del material educativo.</v>
      </c>
      <c r="L23" s="33" t="s">
        <v>8</v>
      </c>
      <c r="M23" s="33" t="s">
        <v>9</v>
      </c>
      <c r="N23" s="33" t="s">
        <v>10</v>
      </c>
      <c r="O23" s="7" t="s">
        <v>27</v>
      </c>
      <c r="P23" s="24">
        <v>1</v>
      </c>
      <c r="Q23" s="24">
        <v>1</v>
      </c>
      <c r="R23" s="24">
        <v>5</v>
      </c>
      <c r="S23" s="24">
        <v>7</v>
      </c>
      <c r="T23" s="24">
        <v>3</v>
      </c>
      <c r="U23" s="24">
        <v>3</v>
      </c>
      <c r="V23" s="24">
        <v>1</v>
      </c>
      <c r="W23" s="25"/>
      <c r="X23" s="24">
        <v>4</v>
      </c>
      <c r="Y23" s="25">
        <v>2</v>
      </c>
      <c r="Z23" s="25"/>
      <c r="AA23" s="25"/>
      <c r="AB23" s="11">
        <f t="shared" si="2"/>
        <v>27</v>
      </c>
    </row>
    <row r="24" spans="1:28" ht="22.8">
      <c r="A24" s="18" t="s">
        <v>3</v>
      </c>
      <c r="B24" s="42" t="str">
        <f>IFERROR(CONCATENATE(A24,". ",VLOOKUP(A24,'results, prods y acts'!$A$2:$B$8,2,FALSE)),"")</f>
        <v>R1. Los procesos de gestión de gasto corriente vinculados a los servicios básicos priorizados a cargo de los GSN son más eficaces y eficientes</v>
      </c>
      <c r="C24" s="21" t="s">
        <v>5</v>
      </c>
      <c r="D24" s="42" t="str">
        <f>IFERROR(CONCATENATE(C24,". ",VLOOKUP(C24,'results, prods y acts'!$D$2:$E$12,2,FALSE)),CONCATENATE(C24,". "))</f>
        <v>P1. Asistencia técnica</v>
      </c>
      <c r="E24" s="42" t="str" cm="1">
        <f t="array" ref="E24">IFERROR(INDEX(_xlfn.TEXTSPLIT(I24,"."),2)&amp;"."&amp;INDEX(_xlfn.TEXTSPLIT(I24,"."),3),"")</f>
        <v>P1.2</v>
      </c>
      <c r="F24" s="42" t="str">
        <f>IFERROR(CONCATENATE(E24,". ",VLOOKUP(E24,'results, prods y acts'!$G$2:$H$16,2,FALSE)),"")</f>
        <v>P1.2. Acompañamiento</v>
      </c>
      <c r="G24" s="20" t="s">
        <v>4</v>
      </c>
      <c r="H24" s="20"/>
      <c r="I24" s="22" t="s">
        <v>68</v>
      </c>
      <c r="J24" s="12" t="s">
        <v>20</v>
      </c>
      <c r="K24" s="7" t="str">
        <f t="shared" si="0"/>
        <v>R1.P1.2.7. Acompañamiento a los GSNs en el proceso del seguimiento de la ejecución presupuestaria de ingresos y gastos.</v>
      </c>
      <c r="L24" s="33" t="s">
        <v>8</v>
      </c>
      <c r="M24" s="33" t="s">
        <v>9</v>
      </c>
      <c r="N24" s="33" t="s">
        <v>10</v>
      </c>
      <c r="O24" s="7" t="s">
        <v>21</v>
      </c>
      <c r="P24" s="25"/>
      <c r="Q24" s="25"/>
      <c r="R24" s="24">
        <v>4</v>
      </c>
      <c r="S24" s="24">
        <v>1</v>
      </c>
      <c r="T24" s="24">
        <v>3</v>
      </c>
      <c r="U24" s="25">
        <v>1</v>
      </c>
      <c r="V24" s="24">
        <v>2</v>
      </c>
      <c r="W24" s="24">
        <v>4</v>
      </c>
      <c r="X24" s="25"/>
      <c r="Y24" s="24">
        <v>5</v>
      </c>
      <c r="Z24" s="24">
        <v>3</v>
      </c>
      <c r="AA24" s="24">
        <v>1</v>
      </c>
      <c r="AB24" s="11">
        <f t="shared" si="2"/>
        <v>24</v>
      </c>
    </row>
    <row r="25" spans="1:28" ht="34.200000000000003">
      <c r="A25" s="18" t="s">
        <v>3</v>
      </c>
      <c r="B25" s="42" t="str">
        <f>IFERROR(CONCATENATE(A25,". ",VLOOKUP(A25,'results, prods y acts'!$A$2:$B$8,2,FALSE)),"")</f>
        <v>R1. Los procesos de gestión de gasto corriente vinculados a los servicios básicos priorizados a cargo de los GSN son más eficaces y eficientes</v>
      </c>
      <c r="C25" s="21" t="s">
        <v>5</v>
      </c>
      <c r="D25" s="42" t="str">
        <f>IFERROR(CONCATENATE(C25,". ",VLOOKUP(C25,'results, prods y acts'!$D$2:$E$12,2,FALSE)),CONCATENATE(C25,". "))</f>
        <v>P1. Asistencia técnica</v>
      </c>
      <c r="E25" s="42" t="str" cm="1">
        <f t="array" ref="E25">IFERROR(INDEX(_xlfn.TEXTSPLIT(I25,"."),2)&amp;"."&amp;INDEX(_xlfn.TEXTSPLIT(I25,"."),3),"")</f>
        <v>P1.2</v>
      </c>
      <c r="F25" s="42" t="str">
        <f>IFERROR(CONCATENATE(E25,". ",VLOOKUP(E25,'results, prods y acts'!$G$2:$H$16,2,FALSE)),"")</f>
        <v>P1.2. Acompañamiento</v>
      </c>
      <c r="G25" s="20" t="s">
        <v>4</v>
      </c>
      <c r="H25" s="20"/>
      <c r="I25" s="22" t="s">
        <v>16</v>
      </c>
      <c r="J25" s="12" t="s">
        <v>28</v>
      </c>
      <c r="K25" s="7" t="str">
        <f t="shared" si="0"/>
        <v>R1.P1.2.8. Acompañamiento a los responsables designados en la elaboración del Plan de trabajo para la implementación de mejora de los almacenes relacionados a los SBP.</v>
      </c>
      <c r="L25" s="33" t="s">
        <v>8</v>
      </c>
      <c r="M25" s="33" t="s">
        <v>9</v>
      </c>
      <c r="N25" s="33" t="s">
        <v>10</v>
      </c>
      <c r="O25" s="7" t="s">
        <v>29</v>
      </c>
      <c r="P25" s="25"/>
      <c r="Q25" s="24">
        <v>4</v>
      </c>
      <c r="R25" s="24">
        <v>3</v>
      </c>
      <c r="S25" s="24">
        <v>4</v>
      </c>
      <c r="T25" s="24">
        <v>2</v>
      </c>
      <c r="U25" s="25"/>
      <c r="V25" s="24">
        <v>1</v>
      </c>
      <c r="W25" s="24">
        <v>4</v>
      </c>
      <c r="X25" s="24">
        <v>1</v>
      </c>
      <c r="Y25" s="25">
        <v>1</v>
      </c>
      <c r="Z25" s="25"/>
      <c r="AA25" s="25"/>
      <c r="AB25" s="11">
        <f t="shared" si="2"/>
        <v>20</v>
      </c>
    </row>
    <row r="26" spans="1:28" ht="34.200000000000003">
      <c r="A26" s="18" t="s">
        <v>3</v>
      </c>
      <c r="B26" s="42" t="str">
        <f>IFERROR(CONCATENATE(A26,". ",VLOOKUP(A26,'results, prods y acts'!$A$2:$B$8,2,FALSE)),"")</f>
        <v>R1. Los procesos de gestión de gasto corriente vinculados a los servicios básicos priorizados a cargo de los GSN son más eficaces y eficientes</v>
      </c>
      <c r="C26" s="21" t="s">
        <v>5</v>
      </c>
      <c r="D26" s="42" t="str">
        <f>IFERROR(CONCATENATE(C26,". ",VLOOKUP(C26,'results, prods y acts'!$D$2:$E$12,2,FALSE)),CONCATENATE(C26,". "))</f>
        <v>P1. Asistencia técnica</v>
      </c>
      <c r="E26" s="42" t="str" cm="1">
        <f t="array" ref="E26">IFERROR(INDEX(_xlfn.TEXTSPLIT(I26,"."),2)&amp;"."&amp;INDEX(_xlfn.TEXTSPLIT(I26,"."),3),"")</f>
        <v>P1.2</v>
      </c>
      <c r="F26" s="42" t="str">
        <f>IFERROR(CONCATENATE(E26,". ",VLOOKUP(E26,'results, prods y acts'!$G$2:$H$16,2,FALSE)),"")</f>
        <v>P1.2. Acompañamiento</v>
      </c>
      <c r="G26" s="20" t="s">
        <v>4</v>
      </c>
      <c r="H26" s="20"/>
      <c r="I26" s="22" t="s">
        <v>17</v>
      </c>
      <c r="J26" s="7" t="s">
        <v>69</v>
      </c>
      <c r="K26" s="7" t="str">
        <f t="shared" si="0"/>
        <v>R1.P1.2.9. Acompañamiento a los responsables designados en el proceso de implementación del  Plan de trabajo  de mejora de los almacenes  relacionados a los SBP.</v>
      </c>
      <c r="L26" s="33" t="s">
        <v>8</v>
      </c>
      <c r="M26" s="33" t="s">
        <v>9</v>
      </c>
      <c r="N26" s="33" t="s">
        <v>10</v>
      </c>
      <c r="O26" s="7" t="s">
        <v>482</v>
      </c>
      <c r="P26" s="24">
        <v>3</v>
      </c>
      <c r="Q26" s="24">
        <v>11</v>
      </c>
      <c r="R26" s="24">
        <v>2</v>
      </c>
      <c r="S26" s="24">
        <v>2</v>
      </c>
      <c r="T26" s="25">
        <v>1</v>
      </c>
      <c r="U26" s="24">
        <v>2</v>
      </c>
      <c r="V26" s="24">
        <v>3</v>
      </c>
      <c r="W26" s="24">
        <v>1</v>
      </c>
      <c r="X26" s="24">
        <v>2</v>
      </c>
      <c r="Y26" s="25"/>
      <c r="Z26" s="24">
        <v>2</v>
      </c>
      <c r="AA26" s="25"/>
      <c r="AB26" s="11">
        <f t="shared" si="2"/>
        <v>29</v>
      </c>
    </row>
    <row r="27" spans="1:28" ht="17.25" customHeight="1">
      <c r="A27" s="18" t="s">
        <v>3</v>
      </c>
      <c r="B27" s="42" t="str">
        <f>IFERROR(CONCATENATE(A27,". ",VLOOKUP(A27,'results, prods y acts'!$A$2:$B$8,2,FALSE)),"")</f>
        <v>R1. Los procesos de gestión de gasto corriente vinculados a los servicios básicos priorizados a cargo de los GSN son más eficaces y eficientes</v>
      </c>
      <c r="C27" s="21" t="s">
        <v>5</v>
      </c>
      <c r="D27" s="42" t="str">
        <f>IFERROR(CONCATENATE(C27,". ",VLOOKUP(C27,'results, prods y acts'!$D$2:$E$12,2,FALSE)),CONCATENATE(C27,". "))</f>
        <v>P1. Asistencia técnica</v>
      </c>
      <c r="E27" s="42" t="str" cm="1">
        <f t="array" ref="E27">IFERROR(INDEX(_xlfn.TEXTSPLIT(I27,"."),2)&amp;"."&amp;INDEX(_xlfn.TEXTSPLIT(I27,"."),3),"")</f>
        <v>P1.2</v>
      </c>
      <c r="F27" s="42" t="str">
        <f>IFERROR(CONCATENATE(E27,". ",VLOOKUP(E27,'results, prods y acts'!$G$2:$H$16,2,FALSE)),"")</f>
        <v>P1.2. Acompañamiento</v>
      </c>
      <c r="G27" s="20" t="s">
        <v>4</v>
      </c>
      <c r="H27" s="20"/>
      <c r="I27" s="22" t="s">
        <v>530</v>
      </c>
      <c r="J27" s="12" t="s">
        <v>513</v>
      </c>
      <c r="K27" s="7" t="str">
        <f t="shared" si="0"/>
        <v>R1.P1.2.11. Acompañamiento a los GSN en el proceso de planificación de las ACR</v>
      </c>
      <c r="L27" s="33" t="s">
        <v>8</v>
      </c>
      <c r="M27" s="33" t="s">
        <v>9</v>
      </c>
      <c r="N27" s="33" t="s">
        <v>10</v>
      </c>
      <c r="O27" s="7" t="s">
        <v>514</v>
      </c>
      <c r="P27" s="25"/>
      <c r="Q27" s="25"/>
      <c r="R27" s="25"/>
      <c r="S27" s="25">
        <v>3</v>
      </c>
      <c r="T27" s="25"/>
      <c r="U27" s="25"/>
      <c r="V27" s="25"/>
      <c r="W27" s="24"/>
      <c r="X27" s="25"/>
      <c r="Y27" s="25"/>
      <c r="Z27" s="25"/>
      <c r="AA27" s="25"/>
      <c r="AB27" s="11">
        <f>SUM(P27:AA27)</f>
        <v>3</v>
      </c>
    </row>
    <row r="28" spans="1:28" ht="22.8">
      <c r="A28" s="18" t="s">
        <v>3</v>
      </c>
      <c r="B28" s="42" t="str">
        <f>IFERROR(CONCATENATE(A28,". ",VLOOKUP(A28,'results, prods y acts'!$A$2:$B$8,2,FALSE)),"")</f>
        <v>R1. Los procesos de gestión de gasto corriente vinculados a los servicios básicos priorizados a cargo de los GSN son más eficaces y eficientes</v>
      </c>
      <c r="C28" s="21" t="s">
        <v>5</v>
      </c>
      <c r="D28" s="42" t="str">
        <f>IFERROR(CONCATENATE(C28,". ",VLOOKUP(C28,'results, prods y acts'!$D$2:$E$12,2,FALSE)),CONCATENATE(C28,". "))</f>
        <v>P1. Asistencia técnica</v>
      </c>
      <c r="E28" s="42" t="str" cm="1">
        <f t="array" ref="E28">IFERROR(INDEX(_xlfn.TEXTSPLIT(I28,"."),2)&amp;"."&amp;INDEX(_xlfn.TEXTSPLIT(I28,"."),3),"")</f>
        <v>P1.2</v>
      </c>
      <c r="F28" s="42" t="str">
        <f>IFERROR(CONCATENATE(E28,". ",VLOOKUP(E28,'results, prods y acts'!$G$2:$H$16,2,FALSE)),"")</f>
        <v>P1.2. Acompañamiento</v>
      </c>
      <c r="G28" s="20" t="s">
        <v>4</v>
      </c>
      <c r="H28" s="20"/>
      <c r="I28" s="22" t="s">
        <v>531</v>
      </c>
      <c r="J28" s="12" t="s">
        <v>515</v>
      </c>
      <c r="K28" s="7" t="str">
        <f t="shared" si="0"/>
        <v>R1.P1.2.12. Acompañamiento a los GSN en el proceso de programación de la demanda de bienes y servicios relacionados a los ACR</v>
      </c>
      <c r="L28" s="33" t="s">
        <v>8</v>
      </c>
      <c r="M28" s="33" t="s">
        <v>9</v>
      </c>
      <c r="N28" s="33" t="s">
        <v>18</v>
      </c>
      <c r="O28" s="7" t="s">
        <v>19</v>
      </c>
      <c r="P28" s="25"/>
      <c r="Q28" s="25"/>
      <c r="R28" s="25"/>
      <c r="S28" s="25"/>
      <c r="T28" s="25">
        <v>3</v>
      </c>
      <c r="U28" s="25"/>
      <c r="V28" s="25"/>
      <c r="W28" s="25"/>
      <c r="X28" s="25">
        <v>3</v>
      </c>
      <c r="Y28" s="25"/>
      <c r="Z28" s="25"/>
      <c r="AA28" s="25"/>
      <c r="AB28" s="11">
        <f>SUM(P28:AA28)</f>
        <v>6</v>
      </c>
    </row>
    <row r="29" spans="1:28" ht="30" customHeight="1">
      <c r="A29" s="18" t="s">
        <v>3</v>
      </c>
      <c r="B29" s="42" t="str">
        <f>IFERROR(CONCATENATE(A29,". ",VLOOKUP(A29,'results, prods y acts'!$A$2:$B$8,2,FALSE)),"")</f>
        <v>R1. Los procesos de gestión de gasto corriente vinculados a los servicios básicos priorizados a cargo de los GSN son más eficaces y eficientes</v>
      </c>
      <c r="C29" s="21" t="s">
        <v>5</v>
      </c>
      <c r="D29" s="42" t="str">
        <f>IFERROR(CONCATENATE(C29,". ",VLOOKUP(C29,'results, prods y acts'!$D$2:$E$12,2,FALSE)),CONCATENATE(C29,". "))</f>
        <v>P1. Asistencia técnica</v>
      </c>
      <c r="E29" s="42" t="str" cm="1">
        <f t="array" ref="E29">IFERROR(INDEX(_xlfn.TEXTSPLIT(I29,"."),2)&amp;"."&amp;INDEX(_xlfn.TEXTSPLIT(I29,"."),3),"")</f>
        <v>P1.2</v>
      </c>
      <c r="F29" s="42" t="str">
        <f>IFERROR(CONCATENATE(E29,". ",VLOOKUP(E29,'results, prods y acts'!$G$2:$H$16,2,FALSE)),"")</f>
        <v>P1.2. Acompañamiento</v>
      </c>
      <c r="G29" s="20" t="s">
        <v>4</v>
      </c>
      <c r="H29" s="20"/>
      <c r="I29" s="22" t="s">
        <v>532</v>
      </c>
      <c r="J29" s="12" t="s">
        <v>517</v>
      </c>
      <c r="K29" s="7" t="str">
        <f t="shared" si="0"/>
        <v>R1.P1.2.13. Acompañamiento a los GSN en las fases de los procesos de contratación de bienes y servicios relacionados con las actividades de las ACR</v>
      </c>
      <c r="L29" s="33" t="s">
        <v>8</v>
      </c>
      <c r="M29" s="33" t="s">
        <v>12</v>
      </c>
      <c r="N29" s="33" t="s">
        <v>10</v>
      </c>
      <c r="O29" s="7" t="s">
        <v>22</v>
      </c>
      <c r="P29" s="25"/>
      <c r="Q29" s="25"/>
      <c r="R29" s="25"/>
      <c r="S29" s="25"/>
      <c r="T29" s="25">
        <v>3</v>
      </c>
      <c r="U29" s="25"/>
      <c r="V29" s="25">
        <v>3</v>
      </c>
      <c r="W29" s="25"/>
      <c r="X29" s="25"/>
      <c r="Y29" s="25">
        <v>3</v>
      </c>
      <c r="Z29" s="25"/>
      <c r="AA29" s="25"/>
      <c r="AB29" s="11">
        <f>SUM(P29:AA29)</f>
        <v>9</v>
      </c>
    </row>
    <row r="30" spans="1:28" ht="25.5" customHeight="1">
      <c r="A30" s="18" t="s">
        <v>3</v>
      </c>
      <c r="B30" s="42" t="str">
        <f>IFERROR(CONCATENATE(A30,". ",VLOOKUP(A30,'results, prods y acts'!$A$2:$B$8,2,FALSE)),"")</f>
        <v>R1. Los procesos de gestión de gasto corriente vinculados a los servicios básicos priorizados a cargo de los GSN son más eficaces y eficientes</v>
      </c>
      <c r="C30" s="21" t="s">
        <v>5</v>
      </c>
      <c r="D30" s="42" t="str">
        <f>IFERROR(CONCATENATE(C30,". ",VLOOKUP(C30,'results, prods y acts'!$D$2:$E$12,2,FALSE)),CONCATENATE(C30,". "))</f>
        <v>P1. Asistencia técnica</v>
      </c>
      <c r="E30" s="42" t="str" cm="1">
        <f t="array" ref="E30">IFERROR(INDEX(_xlfn.TEXTSPLIT(I30,"."),2)&amp;"."&amp;INDEX(_xlfn.TEXTSPLIT(I30,"."),3),"")</f>
        <v>P1.2</v>
      </c>
      <c r="F30" s="42" t="str">
        <f>IFERROR(CONCATENATE(E30,". ",VLOOKUP(E30,'results, prods y acts'!$G$2:$H$16,2,FALSE)),"")</f>
        <v>P1.2. Acompañamiento</v>
      </c>
      <c r="G30" s="20" t="s">
        <v>4</v>
      </c>
      <c r="H30" s="20"/>
      <c r="I30" s="22" t="s">
        <v>543</v>
      </c>
      <c r="J30" s="12" t="s">
        <v>518</v>
      </c>
      <c r="K30" s="7" t="str">
        <f t="shared" si="0"/>
        <v>R1.P1.2.14. Acompañamiento a los GSNs en el proceso del seguimiento de la ejecución presupuestaria de gastos de las ACR</v>
      </c>
      <c r="L30" s="33" t="s">
        <v>8</v>
      </c>
      <c r="M30" s="33" t="s">
        <v>9</v>
      </c>
      <c r="N30" s="33" t="s">
        <v>10</v>
      </c>
      <c r="O30" s="7" t="s">
        <v>21</v>
      </c>
      <c r="P30" s="25"/>
      <c r="Q30" s="25"/>
      <c r="R30" s="25"/>
      <c r="S30" s="25"/>
      <c r="T30" s="25"/>
      <c r="U30" s="25">
        <v>3</v>
      </c>
      <c r="V30" s="25"/>
      <c r="W30" s="25"/>
      <c r="X30" s="25">
        <v>3</v>
      </c>
      <c r="Y30" s="25"/>
      <c r="Z30" s="25"/>
      <c r="AA30" s="25"/>
      <c r="AB30" s="11">
        <f>SUM(P30:AA30)</f>
        <v>6</v>
      </c>
    </row>
    <row r="31" spans="1:28" ht="25.5" customHeight="1">
      <c r="A31" s="18" t="s">
        <v>3</v>
      </c>
      <c r="B31" s="42" t="str">
        <f>IFERROR(CONCATENATE(A31,". ",VLOOKUP(A31,'results, prods y acts'!$A$2:$B$8,2,FALSE)),"")</f>
        <v>R1. Los procesos de gestión de gasto corriente vinculados a los servicios básicos priorizados a cargo de los GSN son más eficaces y eficientes</v>
      </c>
      <c r="C31" s="21" t="s">
        <v>5</v>
      </c>
      <c r="D31" s="42" t="str">
        <f>IFERROR(CONCATENATE(C31,". ",VLOOKUP(C31,'results, prods y acts'!$D$2:$E$12,2,FALSE)),CONCATENATE(C31,". "))</f>
        <v>P1. Asistencia técnica</v>
      </c>
      <c r="E31" s="42" t="str" cm="1">
        <f t="array" ref="E31">IFERROR(INDEX(_xlfn.TEXTSPLIT(I31,"."),2)&amp;"."&amp;INDEX(_xlfn.TEXTSPLIT(I31,"."),3),"")</f>
        <v>P1.2</v>
      </c>
      <c r="F31" s="42" t="str">
        <f>IFERROR(CONCATENATE(E31,". ",VLOOKUP(E31,'results, prods y acts'!$G$2:$H$16,2,FALSE)),"")</f>
        <v>P1.2. Acompañamiento</v>
      </c>
      <c r="G31" s="20" t="s">
        <v>4</v>
      </c>
      <c r="H31" s="20"/>
      <c r="I31" s="22" t="s">
        <v>546</v>
      </c>
      <c r="J31" s="12" t="s">
        <v>544</v>
      </c>
      <c r="K31" s="7" t="str">
        <f t="shared" si="0"/>
        <v>R1.P1.2.15. Acompañamiento a los GSN en la elaboración de la metodología de evaluación de las finanzas públicas (PEFA)</v>
      </c>
      <c r="L31" s="33" t="s">
        <v>8</v>
      </c>
      <c r="M31" s="33" t="s">
        <v>9</v>
      </c>
      <c r="N31" s="33" t="s">
        <v>10</v>
      </c>
      <c r="O31" s="7" t="s">
        <v>545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>
        <v>10</v>
      </c>
      <c r="AA31" s="25"/>
      <c r="AB31" s="11">
        <f>SUM(P31:AA31)</f>
        <v>10</v>
      </c>
    </row>
    <row r="32" spans="1:28" ht="34.200000000000003">
      <c r="A32" s="18" t="s">
        <v>3</v>
      </c>
      <c r="B32" s="42" t="str">
        <f>IFERROR(CONCATENATE(A32,". ",VLOOKUP(A32,'results, prods y acts'!$A$2:$B$8,2,FALSE)),"")</f>
        <v>R1. Los procesos de gestión de gasto corriente vinculados a los servicios básicos priorizados a cargo de los GSN son más eficaces y eficientes</v>
      </c>
      <c r="C32" s="21" t="s">
        <v>5</v>
      </c>
      <c r="D32" s="42" t="str">
        <f>IFERROR(CONCATENATE(C32,". ",VLOOKUP(C32,'results, prods y acts'!$D$2:$E$12,2,FALSE)),CONCATENATE(C32,". "))</f>
        <v>P1. Asistencia técnica</v>
      </c>
      <c r="E32" s="42" t="str" cm="1">
        <f t="array" ref="E32">IFERROR(INDEX(_xlfn.TEXTSPLIT(I32,"."),2)&amp;"."&amp;INDEX(_xlfn.TEXTSPLIT(I32,"."),3),"")</f>
        <v>P1.3</v>
      </c>
      <c r="F32" s="42" t="str">
        <f>IFERROR(CONCATENATE(E32,". ",VLOOKUP(E32,'results, prods y acts'!$G$2:$H$16,2,FALSE)),"")</f>
        <v>P1.3. Reuniones de retroalimentación</v>
      </c>
      <c r="G32" s="20" t="s">
        <v>4</v>
      </c>
      <c r="H32" s="20"/>
      <c r="I32" s="22" t="s">
        <v>30</v>
      </c>
      <c r="J32" s="12" t="s">
        <v>32</v>
      </c>
      <c r="K32" s="7" t="str">
        <f t="shared" si="0"/>
        <v>R1.P1.3.1. Reuniones de retroalimentación del avance y resultado de la distribución de vacunas y material educativo con los GSN.</v>
      </c>
      <c r="L32" s="33" t="s">
        <v>33</v>
      </c>
      <c r="M32" s="33" t="s">
        <v>31</v>
      </c>
      <c r="N32" s="33" t="s">
        <v>10</v>
      </c>
      <c r="O32" s="7" t="s">
        <v>34</v>
      </c>
      <c r="P32" s="25"/>
      <c r="Q32" s="24">
        <v>3</v>
      </c>
      <c r="R32" s="24">
        <v>3</v>
      </c>
      <c r="S32" s="24">
        <v>3</v>
      </c>
      <c r="T32" s="25"/>
      <c r="U32" s="24">
        <v>3</v>
      </c>
      <c r="V32" s="24">
        <v>1</v>
      </c>
      <c r="W32" s="25">
        <v>1</v>
      </c>
      <c r="X32" s="24">
        <v>2</v>
      </c>
      <c r="Y32" s="24">
        <v>1</v>
      </c>
      <c r="Z32" s="24">
        <v>2</v>
      </c>
      <c r="AA32" s="24">
        <v>1</v>
      </c>
      <c r="AB32" s="11">
        <f t="shared" si="2"/>
        <v>20</v>
      </c>
    </row>
    <row r="33" spans="1:28" ht="25.5" customHeight="1">
      <c r="A33" s="18" t="s">
        <v>3</v>
      </c>
      <c r="B33" s="42" t="str">
        <f>IFERROR(CONCATENATE(A33,". ",VLOOKUP(A33,'results, prods y acts'!$A$2:$B$8,2,FALSE)),"")</f>
        <v>R1. Los procesos de gestión de gasto corriente vinculados a los servicios básicos priorizados a cargo de los GSN son más eficaces y eficientes</v>
      </c>
      <c r="C33" s="21" t="s">
        <v>37</v>
      </c>
      <c r="D33" s="42" t="str">
        <f>IFERROR(CONCATENATE(C33,". ",VLOOKUP(C33,'results, prods y acts'!$D$2:$E$12,2,FALSE)),CONCATENATE(C33,". "))</f>
        <v>P2. Fortalecimiento de capacidades</v>
      </c>
      <c r="E33" s="42" t="str" cm="1">
        <f t="array" ref="E33">IFERROR(INDEX(_xlfn.TEXTSPLIT(I33,"."),2)&amp;"."&amp;INDEX(_xlfn.TEXTSPLIT(I33,"."),3),"")</f>
        <v>P2.1</v>
      </c>
      <c r="F33" s="42" t="str">
        <f>IFERROR(CONCATENATE(E33,". ",VLOOKUP(E33,'results, prods y acts'!$G$2:$H$16,2,FALSE)),"")</f>
        <v>P2.1. Cursos</v>
      </c>
      <c r="G33" s="20" t="s">
        <v>4</v>
      </c>
      <c r="H33" s="20"/>
      <c r="I33" s="22" t="s">
        <v>87</v>
      </c>
      <c r="J33" s="12" t="s">
        <v>89</v>
      </c>
      <c r="K33" s="7" t="str">
        <f t="shared" si="0"/>
        <v>R1.P2.1.1. Curso (Programa Especial) en temas relacionados con la cadena de abastecimiento.</v>
      </c>
      <c r="L33" s="33" t="s">
        <v>81</v>
      </c>
      <c r="M33" s="33" t="s">
        <v>52</v>
      </c>
      <c r="N33" s="33" t="s">
        <v>41</v>
      </c>
      <c r="O33" s="7" t="s">
        <v>90</v>
      </c>
      <c r="P33" s="25"/>
      <c r="Q33" s="25"/>
      <c r="R33" s="25"/>
      <c r="S33" s="25"/>
      <c r="T33" s="25"/>
      <c r="U33" s="25"/>
      <c r="V33" s="25">
        <v>1</v>
      </c>
      <c r="W33" s="25"/>
      <c r="X33" s="25"/>
      <c r="Y33" s="25"/>
      <c r="Z33" s="25"/>
      <c r="AA33" s="25"/>
      <c r="AB33" s="11">
        <f t="shared" ref="AB33:AB40" si="3">SUM(P33:AA33)</f>
        <v>1</v>
      </c>
    </row>
    <row r="34" spans="1:28" ht="21.75" customHeight="1">
      <c r="A34" s="18" t="s">
        <v>3</v>
      </c>
      <c r="B34" s="42" t="str">
        <f>IFERROR(CONCATENATE(A34,". ",VLOOKUP(A34,'results, prods y acts'!$A$2:$B$8,2,FALSE)),"")</f>
        <v>R1. Los procesos de gestión de gasto corriente vinculados a los servicios básicos priorizados a cargo de los GSN son más eficaces y eficientes</v>
      </c>
      <c r="C34" s="21" t="s">
        <v>37</v>
      </c>
      <c r="D34" s="42" t="str">
        <f>IFERROR(CONCATENATE(C34,". ",VLOOKUP(C34,'results, prods y acts'!$D$2:$E$12,2,FALSE)),CONCATENATE(C34,". "))</f>
        <v>P2. Fortalecimiento de capacidades</v>
      </c>
      <c r="E34" s="42" t="str" cm="1">
        <f t="array" ref="E34">IFERROR(INDEX(_xlfn.TEXTSPLIT(I34,"."),2)&amp;"."&amp;INDEX(_xlfn.TEXTSPLIT(I34,"."),3),"")</f>
        <v>P2.1</v>
      </c>
      <c r="F34" s="42" t="str">
        <f>IFERROR(CONCATENATE(E34,". ",VLOOKUP(E34,'results, prods y acts'!$G$2:$H$16,2,FALSE)),"")</f>
        <v>P2.1. Cursos</v>
      </c>
      <c r="G34" s="20" t="s">
        <v>4</v>
      </c>
      <c r="H34" s="20"/>
      <c r="I34" s="28" t="s">
        <v>525</v>
      </c>
      <c r="J34" s="12" t="s">
        <v>523</v>
      </c>
      <c r="K34" s="7" t="str">
        <f t="shared" si="0"/>
        <v>R1.P2.1.2. Curso en Instrumentos de Sostenibilidad Financiera</v>
      </c>
      <c r="L34" s="33" t="s">
        <v>81</v>
      </c>
      <c r="M34" s="33" t="s">
        <v>52</v>
      </c>
      <c r="N34" s="33" t="s">
        <v>41</v>
      </c>
      <c r="O34" s="7" t="s">
        <v>524</v>
      </c>
      <c r="P34" s="25"/>
      <c r="Q34" s="25">
        <v>1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11">
        <f>SUM(P34:AA34)</f>
        <v>1</v>
      </c>
    </row>
    <row r="35" spans="1:28" ht="22.8">
      <c r="A35" s="18" t="s">
        <v>3</v>
      </c>
      <c r="B35" s="42" t="str">
        <f>IFERROR(CONCATENATE(A35,". ",VLOOKUP(A35,'results, prods y acts'!$A$2:$B$8,2,FALSE)),"")</f>
        <v>R1. Los procesos de gestión de gasto corriente vinculados a los servicios básicos priorizados a cargo de los GSN son más eficaces y eficientes</v>
      </c>
      <c r="C35" s="21" t="s">
        <v>37</v>
      </c>
      <c r="D35" s="42" t="str">
        <f>IFERROR(CONCATENATE(C35,". ",VLOOKUP(C35,'results, prods y acts'!$D$2:$E$12,2,FALSE)),CONCATENATE(C35,". "))</f>
        <v>P2. Fortalecimiento de capacidades</v>
      </c>
      <c r="E35" s="42" t="str" cm="1">
        <f t="array" ref="E35">IFERROR(INDEX(_xlfn.TEXTSPLIT(I35,"."),2)&amp;"."&amp;INDEX(_xlfn.TEXTSPLIT(I35,"."),3),"")</f>
        <v>P2.3</v>
      </c>
      <c r="F35" s="42" t="str">
        <f>IFERROR(CONCATENATE(E35,". ",VLOOKUP(E35,'results, prods y acts'!$G$2:$H$16,2,FALSE)),"")</f>
        <v>P2.3. Capacitación ad hoc</v>
      </c>
      <c r="G35" s="20" t="s">
        <v>4</v>
      </c>
      <c r="H35" s="20"/>
      <c r="I35" s="22" t="s">
        <v>39</v>
      </c>
      <c r="J35" s="12" t="s">
        <v>44</v>
      </c>
      <c r="K35" s="7" t="str">
        <f t="shared" si="0"/>
        <v>R1.P2.3.1. Capacitación ad hoc para la programación de bienes y servicios de los SBP</v>
      </c>
      <c r="L35" s="33" t="s">
        <v>45</v>
      </c>
      <c r="M35" s="33" t="s">
        <v>40</v>
      </c>
      <c r="N35" s="33" t="s">
        <v>46</v>
      </c>
      <c r="O35" s="7" t="s">
        <v>47</v>
      </c>
      <c r="P35" s="23">
        <v>1</v>
      </c>
      <c r="Q35" s="25">
        <v>3</v>
      </c>
      <c r="R35" s="24">
        <v>3</v>
      </c>
      <c r="S35" s="25"/>
      <c r="T35" s="25"/>
      <c r="U35" s="25"/>
      <c r="V35" s="24">
        <v>2</v>
      </c>
      <c r="W35" s="25">
        <v>1</v>
      </c>
      <c r="X35" s="25"/>
      <c r="Y35" s="25"/>
      <c r="Z35" s="25"/>
      <c r="AA35" s="25"/>
      <c r="AB35" s="11">
        <f t="shared" si="3"/>
        <v>10</v>
      </c>
    </row>
    <row r="36" spans="1:28" ht="22.8">
      <c r="A36" s="18" t="s">
        <v>3</v>
      </c>
      <c r="B36" s="42" t="str">
        <f>IFERROR(CONCATENATE(A36,". ",VLOOKUP(A36,'results, prods y acts'!$A$2:$B$8,2,FALSE)),"")</f>
        <v>R1. Los procesos de gestión de gasto corriente vinculados a los servicios básicos priorizados a cargo de los GSN son más eficaces y eficientes</v>
      </c>
      <c r="C36" s="21" t="s">
        <v>37</v>
      </c>
      <c r="D36" s="42" t="str">
        <f>IFERROR(CONCATENATE(C36,". ",VLOOKUP(C36,'results, prods y acts'!$D$2:$E$12,2,FALSE)),CONCATENATE(C36,". "))</f>
        <v>P2. Fortalecimiento de capacidades</v>
      </c>
      <c r="E36" s="42" t="str" cm="1">
        <f t="array" ref="E36">IFERROR(INDEX(_xlfn.TEXTSPLIT(I36,"."),2)&amp;"."&amp;INDEX(_xlfn.TEXTSPLIT(I36,"."),3),"")</f>
        <v>P2.3</v>
      </c>
      <c r="F36" s="42" t="str">
        <f>IFERROR(CONCATENATE(E36,". ",VLOOKUP(E36,'results, prods y acts'!$G$2:$H$16,2,FALSE)),"")</f>
        <v>P2.3. Capacitación ad hoc</v>
      </c>
      <c r="G36" s="20" t="s">
        <v>4</v>
      </c>
      <c r="H36" s="20"/>
      <c r="I36" s="22" t="s">
        <v>70</v>
      </c>
      <c r="J36" s="12" t="s">
        <v>48</v>
      </c>
      <c r="K36" s="7" t="str">
        <f t="shared" si="0"/>
        <v>R1.P2.3.2. Capacitación ad hoc o Curso de capacidades en la fases de contratación de bienes y servicios vinculados con los SBP</v>
      </c>
      <c r="L36" s="33" t="s">
        <v>45</v>
      </c>
      <c r="M36" s="33" t="s">
        <v>42</v>
      </c>
      <c r="N36" s="33" t="s">
        <v>46</v>
      </c>
      <c r="O36" s="7" t="s">
        <v>49</v>
      </c>
      <c r="P36" s="25"/>
      <c r="Q36" s="25"/>
      <c r="R36" s="24">
        <v>2</v>
      </c>
      <c r="S36" s="25"/>
      <c r="T36" s="24">
        <v>4</v>
      </c>
      <c r="U36" s="24">
        <v>1</v>
      </c>
      <c r="V36" s="25">
        <v>3</v>
      </c>
      <c r="W36" s="25"/>
      <c r="X36" s="25"/>
      <c r="Y36" s="25"/>
      <c r="Z36" s="25"/>
      <c r="AA36" s="25"/>
      <c r="AB36" s="11">
        <f t="shared" si="3"/>
        <v>10</v>
      </c>
    </row>
    <row r="37" spans="1:28" ht="21.9" customHeight="1">
      <c r="A37" s="18" t="s">
        <v>3</v>
      </c>
      <c r="B37" s="42" t="str">
        <f>IFERROR(CONCATENATE(A37,". ",VLOOKUP(A37,'results, prods y acts'!$A$2:$B$8,2,FALSE)),"")</f>
        <v>R1. Los procesos de gestión de gasto corriente vinculados a los servicios básicos priorizados a cargo de los GSN son más eficaces y eficientes</v>
      </c>
      <c r="C37" s="21" t="s">
        <v>37</v>
      </c>
      <c r="D37" s="42" t="str">
        <f>IFERROR(CONCATENATE(C37,". ",VLOOKUP(C37,'results, prods y acts'!$D$2:$E$12,2,FALSE)),CONCATENATE(C37,". "))</f>
        <v>P2. Fortalecimiento de capacidades</v>
      </c>
      <c r="E37" s="42" t="str" cm="1">
        <f t="array" ref="E37">IFERROR(INDEX(_xlfn.TEXTSPLIT(I37,"."),2)&amp;"."&amp;INDEX(_xlfn.TEXTSPLIT(I37,"."),3),"")</f>
        <v>P2.3</v>
      </c>
      <c r="F37" s="42" t="str">
        <f>IFERROR(CONCATENATE(E37,". ",VLOOKUP(E37,'results, prods y acts'!$G$2:$H$16,2,FALSE)),"")</f>
        <v>P2.3. Capacitación ad hoc</v>
      </c>
      <c r="G37" s="20" t="s">
        <v>4</v>
      </c>
      <c r="H37" s="20"/>
      <c r="I37" s="22" t="s">
        <v>43</v>
      </c>
      <c r="J37" s="12" t="s">
        <v>50</v>
      </c>
      <c r="K37" s="7" t="str">
        <f t="shared" si="0"/>
        <v>R1.P2.3.3. Capacitación ad hoc en Gestión de Almacenes de los SBP</v>
      </c>
      <c r="L37" s="33" t="s">
        <v>45</v>
      </c>
      <c r="M37" s="33" t="s">
        <v>40</v>
      </c>
      <c r="N37" s="33" t="s">
        <v>46</v>
      </c>
      <c r="O37" s="7" t="s">
        <v>51</v>
      </c>
      <c r="P37" s="23"/>
      <c r="Q37" s="25"/>
      <c r="R37" s="25">
        <v>1</v>
      </c>
      <c r="S37" s="23">
        <v>1</v>
      </c>
      <c r="T37" s="25"/>
      <c r="U37" s="25"/>
      <c r="V37" s="25"/>
      <c r="W37" s="24">
        <v>1</v>
      </c>
      <c r="X37" s="25"/>
      <c r="Y37" s="24">
        <v>2</v>
      </c>
      <c r="Z37" s="25"/>
      <c r="AA37" s="25"/>
      <c r="AB37" s="11">
        <f t="shared" si="3"/>
        <v>5</v>
      </c>
    </row>
    <row r="38" spans="1:28" ht="45.6">
      <c r="A38" s="18" t="s">
        <v>3</v>
      </c>
      <c r="B38" s="42" t="str">
        <f>IFERROR(CONCATENATE(A38,". ",VLOOKUP(A38,'results, prods y acts'!$A$2:$B$8,2,FALSE)),"")</f>
        <v>R1. Los procesos de gestión de gasto corriente vinculados a los servicios básicos priorizados a cargo de los GSN son más eficaces y eficientes</v>
      </c>
      <c r="C38" s="21" t="s">
        <v>37</v>
      </c>
      <c r="D38" s="42" t="str">
        <f>IFERROR(CONCATENATE(C38,". ",VLOOKUP(C38,'results, prods y acts'!$D$2:$E$12,2,FALSE)),CONCATENATE(C38,". "))</f>
        <v>P2. Fortalecimiento de capacidades</v>
      </c>
      <c r="E38" s="42" t="str" cm="1">
        <f t="array" ref="E38">IFERROR(INDEX(_xlfn.TEXTSPLIT(I38,"."),2)&amp;"."&amp;INDEX(_xlfn.TEXTSPLIT(I38,"."),3),"")</f>
        <v>P2.5</v>
      </c>
      <c r="F38" s="42" t="str">
        <f>IFERROR(CONCATENATE(E38,". ",VLOOKUP(E38,'results, prods y acts'!$G$2:$H$16,2,FALSE)),"")</f>
        <v>P2.5. Charla</v>
      </c>
      <c r="G38" s="20" t="s">
        <v>4</v>
      </c>
      <c r="H38" s="20"/>
      <c r="I38" s="22" t="s">
        <v>88</v>
      </c>
      <c r="J38" s="7" t="s">
        <v>91</v>
      </c>
      <c r="K38" s="7" t="str">
        <f t="shared" si="0"/>
        <v>R1.P2.5.1. Charla para la elaboración del PAC 2023, PMBSyO 2024-2026, adecuada elaboración de las solicitudes de pedido, elaboración de especificaciones técnicas y términos de referencia para bienes y servicios y almacenes de los SBP</v>
      </c>
      <c r="L38" s="33" t="s">
        <v>35</v>
      </c>
      <c r="M38" s="33" t="s">
        <v>36</v>
      </c>
      <c r="N38" s="33" t="s">
        <v>10</v>
      </c>
      <c r="O38" s="7" t="s">
        <v>521</v>
      </c>
      <c r="P38" s="24">
        <v>2</v>
      </c>
      <c r="Q38" s="24">
        <v>6</v>
      </c>
      <c r="R38" s="24">
        <v>3</v>
      </c>
      <c r="S38" s="24">
        <v>2</v>
      </c>
      <c r="T38" s="24">
        <v>1</v>
      </c>
      <c r="U38" s="25"/>
      <c r="V38" s="24">
        <v>6</v>
      </c>
      <c r="W38" s="25">
        <v>4</v>
      </c>
      <c r="X38" s="25">
        <v>1</v>
      </c>
      <c r="Y38" s="24">
        <v>1</v>
      </c>
      <c r="Z38" s="24">
        <v>1</v>
      </c>
      <c r="AA38" s="25"/>
      <c r="AB38" s="11">
        <f t="shared" si="3"/>
        <v>27</v>
      </c>
    </row>
    <row r="39" spans="1:28" ht="45.6">
      <c r="A39" s="18" t="s">
        <v>3</v>
      </c>
      <c r="B39" s="42" t="str">
        <f>IFERROR(CONCATENATE(A39,". ",VLOOKUP(A39,'results, prods y acts'!$A$2:$B$8,2,FALSE)),"")</f>
        <v>R1. Los procesos de gestión de gasto corriente vinculados a los servicios básicos priorizados a cargo de los GSN son más eficaces y eficientes</v>
      </c>
      <c r="C39" s="21" t="s">
        <v>37</v>
      </c>
      <c r="D39" s="42" t="str">
        <f>IFERROR(CONCATENATE(C39,". ",VLOOKUP(C39,'results, prods y acts'!$D$2:$E$12,2,FALSE)),CONCATENATE(C39,". "))</f>
        <v>P2. Fortalecimiento de capacidades</v>
      </c>
      <c r="E39" s="42" t="str" cm="1">
        <f t="array" ref="E39">IFERROR(INDEX(_xlfn.TEXTSPLIT(I39,"."),2)&amp;"."&amp;INDEX(_xlfn.TEXTSPLIT(I39,"."),3),"")</f>
        <v>P2.5</v>
      </c>
      <c r="F39" s="42" t="str">
        <f>IFERROR(CONCATENATE(E39,". ",VLOOKUP(E39,'results, prods y acts'!$G$2:$H$16,2,FALSE)),"")</f>
        <v>P2.5. Charla</v>
      </c>
      <c r="G39" s="20" t="s">
        <v>4</v>
      </c>
      <c r="H39" s="20"/>
      <c r="I39" s="22" t="s">
        <v>504</v>
      </c>
      <c r="J39" s="7" t="s">
        <v>519</v>
      </c>
      <c r="K39" s="7" t="str">
        <f t="shared" si="0"/>
        <v>R1.P2.5.2. Charla para la elaboración del POI, PMBSyO 2027-2029, adecuada elaboración de las solicitudes de pedido, elaboración de especificaciones técnicas y términos de referencia para bienes y servicios para ACR</v>
      </c>
      <c r="L39" s="33" t="s">
        <v>35</v>
      </c>
      <c r="M39" s="33" t="s">
        <v>36</v>
      </c>
      <c r="N39" s="33" t="s">
        <v>10</v>
      </c>
      <c r="O39" s="7" t="s">
        <v>520</v>
      </c>
      <c r="P39" s="25"/>
      <c r="Q39" s="24">
        <v>3</v>
      </c>
      <c r="R39" s="25"/>
      <c r="S39" s="25"/>
      <c r="T39" s="25"/>
      <c r="U39" s="25"/>
      <c r="V39" s="24">
        <v>3</v>
      </c>
      <c r="W39" s="25"/>
      <c r="X39" s="25"/>
      <c r="Y39" s="25"/>
      <c r="Z39" s="25"/>
      <c r="AA39" s="25"/>
      <c r="AB39" s="11">
        <f>SUM(P39:AA39)</f>
        <v>6</v>
      </c>
    </row>
    <row r="40" spans="1:28" ht="15.75" customHeight="1">
      <c r="A40" s="18" t="s">
        <v>3</v>
      </c>
      <c r="B40" s="42" t="str">
        <f>IFERROR(CONCATENATE(A40,". ",VLOOKUP(A40,'results, prods y acts'!$A$2:$B$8,2,FALSE)),"")</f>
        <v>R1. Los procesos de gestión de gasto corriente vinculados a los servicios básicos priorizados a cargo de los GSN son más eficaces y eficientes</v>
      </c>
      <c r="C40" s="21" t="s">
        <v>37</v>
      </c>
      <c r="D40" s="42" t="str">
        <f>IFERROR(CONCATENATE(C40,". ",VLOOKUP(C40,'results, prods y acts'!$D$2:$E$12,2,FALSE)),CONCATENATE(C40,". "))</f>
        <v>P2. Fortalecimiento de capacidades</v>
      </c>
      <c r="E40" s="42" t="str" cm="1">
        <f t="array" ref="E40">IFERROR(INDEX(_xlfn.TEXTSPLIT(I40,"."),2)&amp;"."&amp;INDEX(_xlfn.TEXTSPLIT(I40,"."),3),"")</f>
        <v>P2.5</v>
      </c>
      <c r="F40" s="42" t="str">
        <f>IFERROR(CONCATENATE(E40,". ",VLOOKUP(E40,'results, prods y acts'!$G$2:$H$16,2,FALSE)),"")</f>
        <v>P2.5. Charla</v>
      </c>
      <c r="G40" s="20" t="s">
        <v>4</v>
      </c>
      <c r="H40" s="20"/>
      <c r="I40" s="22" t="s">
        <v>522</v>
      </c>
      <c r="J40" s="7" t="s">
        <v>512</v>
      </c>
      <c r="K40" s="7" t="str">
        <f t="shared" si="0"/>
        <v xml:space="preserve">R1.P2.5.3. Charla especializada en Presupuesto Público </v>
      </c>
      <c r="L40" s="33" t="s">
        <v>35</v>
      </c>
      <c r="M40" s="33" t="s">
        <v>36</v>
      </c>
      <c r="N40" s="33" t="s">
        <v>10</v>
      </c>
      <c r="O40" s="7" t="s">
        <v>472</v>
      </c>
      <c r="P40" s="25"/>
      <c r="Q40" s="25"/>
      <c r="R40" s="25">
        <v>1</v>
      </c>
      <c r="S40" s="25"/>
      <c r="T40" s="25"/>
      <c r="U40" s="25"/>
      <c r="V40" s="25">
        <v>1</v>
      </c>
      <c r="W40" s="25"/>
      <c r="X40" s="25"/>
      <c r="Y40" s="25"/>
      <c r="Z40" s="25"/>
      <c r="AA40" s="25"/>
      <c r="AB40" s="11">
        <f t="shared" si="3"/>
        <v>2</v>
      </c>
    </row>
    <row r="41" spans="1:28" ht="24.75" customHeight="1">
      <c r="A41" s="18" t="s">
        <v>3</v>
      </c>
      <c r="B41" s="42" t="str">
        <f>IFERROR(CONCATENATE(A41,". ",VLOOKUP(A41,'results, prods y acts'!$A$2:$B$8,2,FALSE)),"")</f>
        <v>R1. Los procesos de gestión de gasto corriente vinculados a los servicios básicos priorizados a cargo de los GSN son más eficaces y eficientes</v>
      </c>
      <c r="C41" s="21" t="s">
        <v>53</v>
      </c>
      <c r="D41" s="42" t="str">
        <f>IFERROR(CONCATENATE(C41,". ",VLOOKUP(C41,'results, prods y acts'!$D$2:$E$12,2,FALSE)),CONCATENATE(C41,". "))</f>
        <v>P3. Instrumentos de mejora de la gestión</v>
      </c>
      <c r="E41" s="42" t="str" cm="1">
        <f t="array" ref="E41">IFERROR(INDEX(_xlfn.TEXTSPLIT(I41,"."),2)&amp;"."&amp;INDEX(_xlfn.TEXTSPLIT(I41,"."),3),"")</f>
        <v>P3.1</v>
      </c>
      <c r="F41" s="42" t="str">
        <f>IFERROR(CONCATENATE(E41,". ",VLOOKUP(E41,'results, prods y acts'!$G$2:$H$16,2,FALSE)),"")</f>
        <v/>
      </c>
      <c r="G41" s="20" t="s">
        <v>4</v>
      </c>
      <c r="H41" s="20"/>
      <c r="I41" s="22" t="s">
        <v>95</v>
      </c>
      <c r="J41" s="7" t="s">
        <v>85</v>
      </c>
      <c r="K41" s="7" t="str">
        <f t="shared" si="0"/>
        <v>R1.P3.1.1. Propuesta de protocolo en base a la normatividad de los entes rectores para mejorar la gestión del abastecimiento</v>
      </c>
      <c r="L41" s="33" t="s">
        <v>54</v>
      </c>
      <c r="M41" s="33" t="s">
        <v>55</v>
      </c>
      <c r="N41" s="33" t="s">
        <v>41</v>
      </c>
      <c r="O41" s="7" t="s">
        <v>84</v>
      </c>
      <c r="P41" s="25"/>
      <c r="Q41" s="25"/>
      <c r="R41" s="25">
        <v>1</v>
      </c>
      <c r="S41" s="25"/>
      <c r="T41" s="24">
        <v>1</v>
      </c>
      <c r="U41" s="25"/>
      <c r="V41" s="25"/>
      <c r="W41" s="25"/>
      <c r="X41" s="25">
        <v>2</v>
      </c>
      <c r="Y41" s="25"/>
      <c r="Z41" s="25"/>
      <c r="AA41" s="25"/>
      <c r="AB41" s="11">
        <f t="shared" ref="AB41:AB54" si="4">SUM(P41:AA41)</f>
        <v>4</v>
      </c>
    </row>
    <row r="42" spans="1:28" ht="22.8">
      <c r="A42" s="18" t="s">
        <v>3</v>
      </c>
      <c r="B42" s="42" t="str">
        <f>IFERROR(CONCATENATE(A42,". ",VLOOKUP(A42,'results, prods y acts'!$A$2:$B$8,2,FALSE)),"")</f>
        <v>R1. Los procesos de gestión de gasto corriente vinculados a los servicios básicos priorizados a cargo de los GSN son más eficaces y eficientes</v>
      </c>
      <c r="C42" s="21" t="s">
        <v>53</v>
      </c>
      <c r="D42" s="42" t="str">
        <f>IFERROR(CONCATENATE(C42,". ",VLOOKUP(C42,'results, prods y acts'!$D$2:$E$12,2,FALSE)),CONCATENATE(C42,". "))</f>
        <v>P3. Instrumentos de mejora de la gestión</v>
      </c>
      <c r="E42" s="42" t="str" cm="1">
        <f t="array" ref="E42">IFERROR(INDEX(_xlfn.TEXTSPLIT(I42,"."),2)&amp;"."&amp;INDEX(_xlfn.TEXTSPLIT(I42,"."),3),"")</f>
        <v>P3.1</v>
      </c>
      <c r="F42" s="42" t="str">
        <f>IFERROR(CONCATENATE(E42,". ",VLOOKUP(E42,'results, prods y acts'!$G$2:$H$16,2,FALSE)),"")</f>
        <v/>
      </c>
      <c r="G42" s="20" t="s">
        <v>4</v>
      </c>
      <c r="H42" s="20"/>
      <c r="I42" s="22" t="s">
        <v>349</v>
      </c>
      <c r="J42" s="12" t="s">
        <v>75</v>
      </c>
      <c r="K42" s="7" t="str">
        <f t="shared" si="0"/>
        <v>R1.P3.1.2. Acompañamiento en la actualización de instrumentos de gestión de la  cadena de abastecimiento publico de los SBP</v>
      </c>
      <c r="L42" s="33" t="s">
        <v>8</v>
      </c>
      <c r="M42" s="33" t="s">
        <v>9</v>
      </c>
      <c r="N42" s="33" t="s">
        <v>10</v>
      </c>
      <c r="O42" s="7" t="s">
        <v>19</v>
      </c>
      <c r="P42" s="25"/>
      <c r="Q42" s="25">
        <v>1</v>
      </c>
      <c r="R42" s="25"/>
      <c r="S42" s="25">
        <v>1</v>
      </c>
      <c r="T42" s="25"/>
      <c r="U42" s="25"/>
      <c r="V42" s="25"/>
      <c r="W42" s="24">
        <v>1</v>
      </c>
      <c r="X42" s="25">
        <v>1</v>
      </c>
      <c r="Y42" s="25"/>
      <c r="Z42" s="25">
        <v>1</v>
      </c>
      <c r="AA42" s="25"/>
      <c r="AB42" s="11">
        <f t="shared" si="4"/>
        <v>5</v>
      </c>
    </row>
    <row r="43" spans="1:28" ht="18.75" customHeight="1">
      <c r="A43" s="18" t="s">
        <v>3</v>
      </c>
      <c r="B43" s="42" t="str">
        <f>IFERROR(CONCATENATE(A43,". ",VLOOKUP(A43,'results, prods y acts'!$A$2:$B$8,2,FALSE)),"")</f>
        <v>R1. Los procesos de gestión de gasto corriente vinculados a los servicios básicos priorizados a cargo de los GSN son más eficaces y eficientes</v>
      </c>
      <c r="C43" s="21" t="s">
        <v>53</v>
      </c>
      <c r="D43" s="42" t="str">
        <f>IFERROR(CONCATENATE(C43,". ",VLOOKUP(C43,'results, prods y acts'!$D$2:$E$12,2,FALSE)),CONCATENATE(C43,". "))</f>
        <v>P3. Instrumentos de mejora de la gestión</v>
      </c>
      <c r="E43" s="42" t="str" cm="1">
        <f t="array" ref="E43">IFERROR(INDEX(_xlfn.TEXTSPLIT(I43,"."),2)&amp;"."&amp;INDEX(_xlfn.TEXTSPLIT(I43,"."),3),"")</f>
        <v>P3.5</v>
      </c>
      <c r="F43" s="42" t="str">
        <f>IFERROR(CONCATENATE(E43,". ",VLOOKUP(E43,'results, prods y acts'!$G$2:$H$16,2,FALSE)),"")</f>
        <v>P3.5. Propuesta de modificación técnico-administrativa a nivel sectorial</v>
      </c>
      <c r="G43" s="20" t="s">
        <v>4</v>
      </c>
      <c r="H43" s="20"/>
      <c r="I43" s="22" t="s">
        <v>539</v>
      </c>
      <c r="J43" s="12" t="s">
        <v>540</v>
      </c>
      <c r="K43" s="7" t="str">
        <f t="shared" si="0"/>
        <v>R1.P3.5.1. Seguimiento de validación de plantilla de AO para PP0057</v>
      </c>
      <c r="L43" s="33" t="s">
        <v>54</v>
      </c>
      <c r="M43" s="33" t="s">
        <v>55</v>
      </c>
      <c r="N43" s="33" t="s">
        <v>41</v>
      </c>
      <c r="O43" s="7" t="s">
        <v>541</v>
      </c>
      <c r="P43" s="25"/>
      <c r="Q43" s="25"/>
      <c r="R43" s="25">
        <v>1</v>
      </c>
      <c r="S43" s="25"/>
      <c r="T43" s="25"/>
      <c r="U43" s="25"/>
      <c r="V43" s="25"/>
      <c r="W43" s="25"/>
      <c r="X43" s="25"/>
      <c r="Y43" s="25"/>
      <c r="Z43" s="25"/>
      <c r="AA43" s="25"/>
      <c r="AB43" s="11">
        <f t="shared" si="4"/>
        <v>1</v>
      </c>
    </row>
    <row r="44" spans="1:28" ht="21.9" customHeight="1">
      <c r="A44" s="18" t="s">
        <v>3</v>
      </c>
      <c r="B44" s="42" t="str">
        <f>IFERROR(CONCATENATE(A44,". ",VLOOKUP(A44,'results, prods y acts'!$A$2:$B$8,2,FALSE)),"")</f>
        <v>R1. Los procesos de gestión de gasto corriente vinculados a los servicios básicos priorizados a cargo de los GSN son más eficaces y eficientes</v>
      </c>
      <c r="C44" s="21" t="s">
        <v>64</v>
      </c>
      <c r="D44" s="42" t="str">
        <f>IFERROR(CONCATENATE(C44,". ",VLOOKUP(C44,'results, prods y acts'!$D$2:$E$12,2,FALSE)),CONCATENATE(C44,". "))</f>
        <v>P4. Tecnologia de la Informacion / Instrumentos de innovación</v>
      </c>
      <c r="E44" s="42" t="str" cm="1">
        <f t="array" ref="E44">IFERROR(INDEX(_xlfn.TEXTSPLIT(I44,"."),2)&amp;"."&amp;INDEX(_xlfn.TEXTSPLIT(I44,"."),3),"")</f>
        <v>P4.1</v>
      </c>
      <c r="F44" s="42" t="str">
        <f>IFERROR(CONCATENATE(E44,". ",VLOOKUP(E44,'results, prods y acts'!$G$2:$H$16,2,FALSE)),"")</f>
        <v>P4.1. Estrategia para la eficiencia de procesos</v>
      </c>
      <c r="G44" s="20" t="s">
        <v>4</v>
      </c>
      <c r="H44" s="20"/>
      <c r="I44" s="22" t="s">
        <v>96</v>
      </c>
      <c r="J44" s="7" t="s">
        <v>86</v>
      </c>
      <c r="K44" s="7" t="str">
        <f t="shared" si="0"/>
        <v>R1.P4.1.1. Implementacion de TI en la gestion del Abastecimiento</v>
      </c>
      <c r="L44" s="33" t="s">
        <v>83</v>
      </c>
      <c r="M44" s="33" t="s">
        <v>55</v>
      </c>
      <c r="N44" s="33" t="s">
        <v>41</v>
      </c>
      <c r="O44" s="7" t="s">
        <v>84</v>
      </c>
      <c r="P44" s="25"/>
      <c r="Q44" s="25"/>
      <c r="R44" s="25"/>
      <c r="S44" s="24">
        <v>1</v>
      </c>
      <c r="T44" s="25"/>
      <c r="U44" s="25"/>
      <c r="V44" s="25"/>
      <c r="W44" s="25"/>
      <c r="X44" s="25"/>
      <c r="Y44" s="25"/>
      <c r="Z44" s="25"/>
      <c r="AA44" s="25"/>
      <c r="AB44" s="11">
        <f t="shared" si="4"/>
        <v>1</v>
      </c>
    </row>
    <row r="45" spans="1:28" ht="21.9" customHeight="1">
      <c r="A45" s="18" t="s">
        <v>3</v>
      </c>
      <c r="B45" s="42" t="str">
        <f>IFERROR(CONCATENATE(A45,". ",VLOOKUP(A45,'results, prods y acts'!$A$2:$B$8,2,FALSE)),"")</f>
        <v>R1. Los procesos de gestión de gasto corriente vinculados a los servicios básicos priorizados a cargo de los GSN son más eficaces y eficientes</v>
      </c>
      <c r="C45" s="21" t="s">
        <v>64</v>
      </c>
      <c r="D45" s="42" t="str">
        <f>IFERROR(CONCATENATE(C45,". ",VLOOKUP(C45,'results, prods y acts'!$D$2:$E$12,2,FALSE)),CONCATENATE(C45,". "))</f>
        <v>P4. Tecnologia de la Informacion / Instrumentos de innovación</v>
      </c>
      <c r="E45" s="42" t="str" cm="1">
        <f t="array" ref="E45">IFERROR(INDEX(_xlfn.TEXTSPLIT(I45,"."),2)&amp;"."&amp;INDEX(_xlfn.TEXTSPLIT(I45,"."),3),"")</f>
        <v>P4.1</v>
      </c>
      <c r="F45" s="42" t="str">
        <f>IFERROR(CONCATENATE(E45,". ",VLOOKUP(E45,'results, prods y acts'!$G$2:$H$16,2,FALSE)),"")</f>
        <v>P4.1. Estrategia para la eficiencia de procesos</v>
      </c>
      <c r="G45" s="20" t="s">
        <v>4</v>
      </c>
      <c r="H45" s="20"/>
      <c r="I45" s="22" t="s">
        <v>534</v>
      </c>
      <c r="J45" s="7" t="s">
        <v>533</v>
      </c>
      <c r="K45" s="7" t="str">
        <f t="shared" si="0"/>
        <v>R1.P4.1.2. Seguimiento a la validación de TI en la gestión</v>
      </c>
      <c r="L45" s="33" t="s">
        <v>83</v>
      </c>
      <c r="M45" s="33" t="s">
        <v>55</v>
      </c>
      <c r="N45" s="33" t="s">
        <v>41</v>
      </c>
      <c r="O45" s="7" t="s">
        <v>535</v>
      </c>
      <c r="P45" s="25"/>
      <c r="Q45" s="25"/>
      <c r="R45" s="25">
        <v>1</v>
      </c>
      <c r="S45" s="25"/>
      <c r="T45" s="25"/>
      <c r="U45" s="25"/>
      <c r="V45" s="25"/>
      <c r="W45" s="25"/>
      <c r="X45" s="25"/>
      <c r="Y45" s="25"/>
      <c r="Z45" s="25"/>
      <c r="AA45" s="25"/>
      <c r="AB45" s="11">
        <f t="shared" si="4"/>
        <v>1</v>
      </c>
    </row>
    <row r="46" spans="1:28" ht="28.5" customHeight="1">
      <c r="A46" s="18" t="s">
        <v>3</v>
      </c>
      <c r="B46" s="42" t="str">
        <f>IFERROR(CONCATENATE(A46,". ",VLOOKUP(A46,'results, prods y acts'!$A$2:$B$8,2,FALSE)),"")</f>
        <v>R1. Los procesos de gestión de gasto corriente vinculados a los servicios básicos priorizados a cargo de los GSN son más eficaces y eficientes</v>
      </c>
      <c r="C46" s="21" t="s">
        <v>64</v>
      </c>
      <c r="D46" s="42" t="str">
        <f>IFERROR(CONCATENATE(C46,". ",VLOOKUP(C46,'results, prods y acts'!$D$2:$E$12,2,FALSE)),CONCATENATE(C46,". "))</f>
        <v>P4. Tecnologia de la Informacion / Instrumentos de innovación</v>
      </c>
      <c r="E46" s="42" t="str" cm="1">
        <f t="array" ref="E46">IFERROR(INDEX(_xlfn.TEXTSPLIT(I46,"."),2)&amp;"."&amp;INDEX(_xlfn.TEXTSPLIT(I46,"."),3),"")</f>
        <v>P4.1</v>
      </c>
      <c r="F46" s="42" t="str">
        <f>IFERROR(CONCATENATE(E46,". ",VLOOKUP(E46,'results, prods y acts'!$G$2:$H$16,2,FALSE)),"")</f>
        <v>P4.1. Estrategia para la eficiencia de procesos</v>
      </c>
      <c r="G46" s="20" t="s">
        <v>4</v>
      </c>
      <c r="H46" s="20"/>
      <c r="I46" s="22" t="s">
        <v>538</v>
      </c>
      <c r="J46" s="7" t="s">
        <v>536</v>
      </c>
      <c r="K46" s="7" t="str">
        <f t="shared" si="0"/>
        <v>R1.P4.1.3. Acompañamiento a la implementacion de TI en la gestion</v>
      </c>
      <c r="L46" s="33" t="s">
        <v>83</v>
      </c>
      <c r="M46" s="33" t="s">
        <v>55</v>
      </c>
      <c r="N46" s="33" t="s">
        <v>41</v>
      </c>
      <c r="O46" s="7" t="s">
        <v>537</v>
      </c>
      <c r="P46" s="25"/>
      <c r="Q46" s="25"/>
      <c r="R46" s="25"/>
      <c r="S46" s="25"/>
      <c r="T46" s="25"/>
      <c r="U46" s="25"/>
      <c r="V46" s="25"/>
      <c r="W46" s="25"/>
      <c r="X46" s="25"/>
      <c r="Y46" s="25">
        <v>1</v>
      </c>
      <c r="Z46" s="25"/>
      <c r="AA46" s="25"/>
      <c r="AB46" s="11">
        <f t="shared" si="4"/>
        <v>1</v>
      </c>
    </row>
    <row r="47" spans="1:28" ht="22.8">
      <c r="A47" s="18" t="s">
        <v>3</v>
      </c>
      <c r="B47" s="42" t="str">
        <f>IFERROR(CONCATENATE(A47,". ",VLOOKUP(A47,'results, prods y acts'!$A$2:$B$8,2,FALSE)),"")</f>
        <v>R1. Los procesos de gestión de gasto corriente vinculados a los servicios básicos priorizados a cargo de los GSN son más eficaces y eficientes</v>
      </c>
      <c r="C47" s="21" t="s">
        <v>76</v>
      </c>
      <c r="D47" s="42" t="str">
        <f>IFERROR(CONCATENATE(C47,". ",VLOOKUP(C47,'results, prods y acts'!$D$2:$E$12,2,FALSE)),CONCATENATE(C47,". "))</f>
        <v>P5. Instrumentos de Gestión del Conocimiento (Publicaciones)</v>
      </c>
      <c r="E47" s="42" t="str" cm="1">
        <f t="array" ref="E47">IFERROR(INDEX(_xlfn.TEXTSPLIT(I47,"."),2)&amp;"."&amp;INDEX(_xlfn.TEXTSPLIT(I47,"."),3),"")</f>
        <v>P5.1</v>
      </c>
      <c r="F47" s="42" t="str">
        <f>IFERROR(CONCATENATE(E47,". ",VLOOKUP(E47,'results, prods y acts'!$G$2:$H$16,2,FALSE)),"")</f>
        <v>P5.1. Documentos de trabajo</v>
      </c>
      <c r="G47" s="20" t="s">
        <v>4</v>
      </c>
      <c r="H47" s="20"/>
      <c r="I47" s="28" t="s">
        <v>466</v>
      </c>
      <c r="J47" s="7" t="s">
        <v>467</v>
      </c>
      <c r="K47" s="7" t="str">
        <f t="shared" si="0"/>
        <v>R1.P5.1.1. Propuesta de Publicaciones</v>
      </c>
      <c r="L47" s="33" t="s">
        <v>83</v>
      </c>
      <c r="M47" s="33" t="s">
        <v>56</v>
      </c>
      <c r="N47" s="33" t="s">
        <v>342</v>
      </c>
      <c r="O47" s="15" t="s">
        <v>503</v>
      </c>
      <c r="P47" s="25"/>
      <c r="Q47" s="25"/>
      <c r="R47" s="25"/>
      <c r="S47" s="25"/>
      <c r="T47" s="25"/>
      <c r="U47" s="25">
        <v>1</v>
      </c>
      <c r="V47" s="25">
        <v>1</v>
      </c>
      <c r="W47" s="25"/>
      <c r="X47" s="25">
        <v>1</v>
      </c>
      <c r="Y47" s="25"/>
      <c r="Z47" s="25">
        <v>1</v>
      </c>
      <c r="AA47" s="25"/>
      <c r="AB47" s="11">
        <f t="shared" si="4"/>
        <v>4</v>
      </c>
    </row>
    <row r="48" spans="1:28" ht="22.8">
      <c r="A48" s="18" t="s">
        <v>3</v>
      </c>
      <c r="B48" s="42" t="str">
        <f>IFERROR(CONCATENATE(A48,". ",VLOOKUP(A48,'results, prods y acts'!$A$2:$B$8,2,FALSE)),"")</f>
        <v>R1. Los procesos de gestión de gasto corriente vinculados a los servicios básicos priorizados a cargo de los GSN son más eficaces y eficientes</v>
      </c>
      <c r="C48" s="21" t="s">
        <v>76</v>
      </c>
      <c r="D48" s="42" t="str">
        <f>IFERROR(CONCATENATE(C48,". ",VLOOKUP(C48,'results, prods y acts'!$D$2:$E$12,2,FALSE)),CONCATENATE(C48,". "))</f>
        <v>P5. Instrumentos de Gestión del Conocimiento (Publicaciones)</v>
      </c>
      <c r="E48" s="42" t="str" cm="1">
        <f t="array" ref="E48">IFERROR(INDEX(_xlfn.TEXTSPLIT(I48,"."),2)&amp;"."&amp;INDEX(_xlfn.TEXTSPLIT(I48,"."),3),"")</f>
        <v>P5.3</v>
      </c>
      <c r="F48" s="42" t="str">
        <f>IFERROR(CONCATENATE(E48,". ",VLOOKUP(E48,'results, prods y acts'!$G$2:$H$16,2,FALSE)),"")</f>
        <v>P5.3. Documentos de política</v>
      </c>
      <c r="G48" s="20" t="s">
        <v>4</v>
      </c>
      <c r="H48" s="20"/>
      <c r="I48" s="28" t="s">
        <v>254</v>
      </c>
      <c r="J48" s="7" t="s">
        <v>468</v>
      </c>
      <c r="K48" s="7" t="str">
        <f t="shared" si="0"/>
        <v>R1.P5.3.1. Recomendaciones sobre la gestión del abastecimiento relacionado con los SBP</v>
      </c>
      <c r="L48" s="33" t="s">
        <v>182</v>
      </c>
      <c r="M48" s="33" t="s">
        <v>56</v>
      </c>
      <c r="N48" s="33" t="s">
        <v>343</v>
      </c>
      <c r="O48" s="15" t="s">
        <v>528</v>
      </c>
      <c r="P48" s="2"/>
      <c r="Q48" s="2">
        <v>1</v>
      </c>
      <c r="R48" s="2">
        <v>1</v>
      </c>
      <c r="S48" s="2"/>
      <c r="T48" s="2">
        <v>3</v>
      </c>
      <c r="U48" s="2"/>
      <c r="V48" s="2">
        <v>1</v>
      </c>
      <c r="W48" s="2"/>
      <c r="X48" s="2">
        <v>1</v>
      </c>
      <c r="Y48" s="2"/>
      <c r="Z48" s="2"/>
      <c r="AA48" s="26">
        <v>1</v>
      </c>
      <c r="AB48" s="11">
        <f t="shared" si="4"/>
        <v>8</v>
      </c>
    </row>
    <row r="49" spans="1:28" ht="22.8">
      <c r="A49" s="18" t="s">
        <v>3</v>
      </c>
      <c r="B49" s="42" t="str">
        <f>IFERROR(CONCATENATE(A49,". ",VLOOKUP(A49,'results, prods y acts'!$A$2:$B$8,2,FALSE)),"")</f>
        <v>R1. Los procesos de gestión de gasto corriente vinculados a los servicios básicos priorizados a cargo de los GSN son más eficaces y eficientes</v>
      </c>
      <c r="C49" s="21" t="s">
        <v>76</v>
      </c>
      <c r="D49" s="42" t="str">
        <f>IFERROR(CONCATENATE(C49,". ",VLOOKUP(C49,'results, prods y acts'!$D$2:$E$12,2,FALSE)),CONCATENATE(C49,". "))</f>
        <v>P5. Instrumentos de Gestión del Conocimiento (Publicaciones)</v>
      </c>
      <c r="E49" s="42" t="str" cm="1">
        <f t="array" ref="E49">IFERROR(INDEX(_xlfn.TEXTSPLIT(I49,"."),2)&amp;"."&amp;INDEX(_xlfn.TEXTSPLIT(I49,"."),3),"")</f>
        <v>P5.3</v>
      </c>
      <c r="F49" s="42" t="str">
        <f>IFERROR(CONCATENATE(E49,". ",VLOOKUP(E49,'results, prods y acts'!$G$2:$H$16,2,FALSE)),"")</f>
        <v>P5.3. Documentos de política</v>
      </c>
      <c r="G49" s="20" t="s">
        <v>4</v>
      </c>
      <c r="H49" s="20"/>
      <c r="I49" s="28" t="s">
        <v>527</v>
      </c>
      <c r="J49" s="7" t="s">
        <v>526</v>
      </c>
      <c r="K49" s="7" t="str">
        <f t="shared" si="0"/>
        <v>R1.P5.3.2. Recomendaciones sobre la gestión del abastecimiento relacionado con las ACR</v>
      </c>
      <c r="L49" s="33" t="s">
        <v>182</v>
      </c>
      <c r="M49" s="33" t="s">
        <v>56</v>
      </c>
      <c r="N49" s="33" t="s">
        <v>343</v>
      </c>
      <c r="O49" s="15" t="s">
        <v>529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v>1</v>
      </c>
      <c r="AA49" s="2"/>
      <c r="AB49" s="11">
        <f t="shared" si="4"/>
        <v>1</v>
      </c>
    </row>
    <row r="50" spans="1:28" ht="34.200000000000003">
      <c r="A50" s="18" t="s">
        <v>3</v>
      </c>
      <c r="B50" s="42" t="str">
        <f>IFERROR(CONCATENATE(A50,". ",VLOOKUP(A50,'results, prods y acts'!$A$2:$B$8,2,FALSE)),"")</f>
        <v>R1. Los procesos de gestión de gasto corriente vinculados a los servicios básicos priorizados a cargo de los GSN son más eficaces y eficientes</v>
      </c>
      <c r="C50" s="42" t="s">
        <v>583</v>
      </c>
      <c r="D50" s="42" t="str">
        <f>IFERROR(CONCATENATE(C50,". ",VLOOKUP(C50,'results, prods y acts'!$D$2:$E$12,2,FALSE)),CONCATENATE(C50,". "))</f>
        <v xml:space="preserve">P6. </v>
      </c>
      <c r="E50" s="42"/>
      <c r="F50" s="42" t="str">
        <f>IFERROR(CONCATENATE(E50,". ",VLOOKUP(E50,'results, prods y acts'!$G$2:$H$16,2,FALSE)),"")</f>
        <v/>
      </c>
      <c r="G50" s="20" t="s">
        <v>57</v>
      </c>
      <c r="H50" s="21" t="s">
        <v>337</v>
      </c>
      <c r="I50" s="22" t="s">
        <v>469</v>
      </c>
      <c r="J50" s="7" t="s">
        <v>78</v>
      </c>
      <c r="K50" s="7" t="str">
        <f t="shared" si="0"/>
        <v>R1.P6.1.1. Reuniones de coordinaciones respecto a las nuevas normas, Asistencia técnica a los GSN, comentarios y aportaciones al Sistema Nacional de Abastecimiento y/o herramientas informáticas.</v>
      </c>
      <c r="L50" s="33" t="s">
        <v>33</v>
      </c>
      <c r="M50" s="33" t="s">
        <v>31</v>
      </c>
      <c r="N50" s="1" t="s">
        <v>41</v>
      </c>
      <c r="O50" s="7" t="s">
        <v>59</v>
      </c>
      <c r="P50" s="23">
        <v>1</v>
      </c>
      <c r="Q50" s="23">
        <v>1</v>
      </c>
      <c r="R50" s="24">
        <v>1</v>
      </c>
      <c r="S50" s="25">
        <v>1</v>
      </c>
      <c r="T50" s="24">
        <v>1</v>
      </c>
      <c r="U50" s="25">
        <v>1</v>
      </c>
      <c r="V50" s="25"/>
      <c r="W50" s="25"/>
      <c r="X50" s="25"/>
      <c r="Y50" s="25"/>
      <c r="Z50" s="25"/>
      <c r="AA50" s="25"/>
      <c r="AB50" s="11">
        <f t="shared" si="4"/>
        <v>6</v>
      </c>
    </row>
    <row r="51" spans="1:28" ht="35.25" customHeight="1">
      <c r="A51" s="18" t="s">
        <v>3</v>
      </c>
      <c r="B51" s="42" t="str">
        <f>IFERROR(CONCATENATE(A51,". ",VLOOKUP(A51,'results, prods y acts'!$A$2:$B$8,2,FALSE)),"")</f>
        <v>R1. Los procesos de gestión de gasto corriente vinculados a los servicios básicos priorizados a cargo de los GSN son más eficaces y eficientes</v>
      </c>
      <c r="C51" s="42" t="s">
        <v>583</v>
      </c>
      <c r="D51" s="42" t="str">
        <f>IFERROR(CONCATENATE(C51,". ",VLOOKUP(C51,'results, prods y acts'!$D$2:$E$12,2,FALSE)),CONCATENATE(C51,". "))</f>
        <v xml:space="preserve">P6. </v>
      </c>
      <c r="E51" s="42"/>
      <c r="F51" s="42" t="str">
        <f>IFERROR(CONCATENATE(E51,". ",VLOOKUP(E51,'results, prods y acts'!$G$2:$H$16,2,FALSE)),"")</f>
        <v/>
      </c>
      <c r="G51" s="20" t="s">
        <v>57</v>
      </c>
      <c r="H51" s="21" t="s">
        <v>337</v>
      </c>
      <c r="I51" s="28" t="s">
        <v>483</v>
      </c>
      <c r="J51" s="7" t="s">
        <v>470</v>
      </c>
      <c r="K51" s="7" t="str">
        <f t="shared" si="0"/>
        <v>R1.P6.1.2. Reuniones de coordinación articulada con la DGA para realizar capacitaciones relacionadas a las normas legales vigentes en la Ley de Contrataciones del Estado y absoluciones de consultas del GSN</v>
      </c>
      <c r="L51" s="33" t="s">
        <v>33</v>
      </c>
      <c r="M51" s="33" t="s">
        <v>31</v>
      </c>
      <c r="N51" s="1" t="s">
        <v>41</v>
      </c>
      <c r="O51" s="7" t="s">
        <v>471</v>
      </c>
      <c r="P51" s="23"/>
      <c r="Q51" s="23">
        <v>1</v>
      </c>
      <c r="R51" s="24">
        <v>1</v>
      </c>
      <c r="S51" s="25"/>
      <c r="T51" s="24">
        <v>1</v>
      </c>
      <c r="U51" s="25"/>
      <c r="V51" s="25"/>
      <c r="W51" s="25"/>
      <c r="X51" s="25"/>
      <c r="Y51" s="25"/>
      <c r="Z51" s="25"/>
      <c r="AA51" s="25"/>
      <c r="AB51" s="11">
        <f t="shared" si="4"/>
        <v>3</v>
      </c>
    </row>
    <row r="52" spans="1:28" ht="34.200000000000003">
      <c r="A52" s="18" t="s">
        <v>3</v>
      </c>
      <c r="B52" s="42" t="str">
        <f>IFERROR(CONCATENATE(A52,". ",VLOOKUP(A52,'results, prods y acts'!$A$2:$B$8,2,FALSE)),"")</f>
        <v>R1. Los procesos de gestión de gasto corriente vinculados a los servicios básicos priorizados a cargo de los GSN son más eficaces y eficientes</v>
      </c>
      <c r="C52" s="42" t="s">
        <v>583</v>
      </c>
      <c r="D52" s="42" t="str">
        <f>IFERROR(CONCATENATE(C52,". ",VLOOKUP(C52,'results, prods y acts'!$D$2:$E$12,2,FALSE)),CONCATENATE(C52,". "))</f>
        <v xml:space="preserve">P6. </v>
      </c>
      <c r="E52" s="42"/>
      <c r="F52" s="42" t="str">
        <f>IFERROR(CONCATENATE(E52,". ",VLOOKUP(E52,'results, prods y acts'!$G$2:$H$16,2,FALSE)),"")</f>
        <v/>
      </c>
      <c r="G52" s="20" t="s">
        <v>57</v>
      </c>
      <c r="H52" s="21" t="s">
        <v>60</v>
      </c>
      <c r="I52" s="22" t="s">
        <v>484</v>
      </c>
      <c r="J52" s="12" t="s">
        <v>61</v>
      </c>
      <c r="K52" s="7" t="str">
        <f t="shared" si="0"/>
        <v>R1.P6.2.1. Reuniones de coordinación y apoyo para absolver consultas relacionadas a la programación y distribución oportuna del material educativo, y; distribución de bienes patrimoniales a las IIEE de los GSN.</v>
      </c>
      <c r="L52" s="33" t="s">
        <v>33</v>
      </c>
      <c r="M52" s="33" t="s">
        <v>31</v>
      </c>
      <c r="N52" s="1" t="s">
        <v>41</v>
      </c>
      <c r="O52" s="7" t="s">
        <v>62</v>
      </c>
      <c r="P52" s="23"/>
      <c r="Q52" s="24">
        <v>4</v>
      </c>
      <c r="R52" s="24">
        <v>3</v>
      </c>
      <c r="S52" s="25">
        <v>2</v>
      </c>
      <c r="T52" s="25"/>
      <c r="U52" s="25">
        <v>1</v>
      </c>
      <c r="V52" s="25"/>
      <c r="W52" s="25"/>
      <c r="X52" s="25"/>
      <c r="Y52" s="25"/>
      <c r="Z52" s="25">
        <v>1</v>
      </c>
      <c r="AA52" s="25"/>
      <c r="AB52" s="11">
        <f t="shared" si="4"/>
        <v>11</v>
      </c>
    </row>
    <row r="53" spans="1:28" ht="34.200000000000003">
      <c r="A53" s="18" t="s">
        <v>3</v>
      </c>
      <c r="B53" s="42" t="str">
        <f>IFERROR(CONCATENATE(A53,". ",VLOOKUP(A53,'results, prods y acts'!$A$2:$B$8,2,FALSE)),"")</f>
        <v>R1. Los procesos de gestión de gasto corriente vinculados a los servicios básicos priorizados a cargo de los GSN son más eficaces y eficientes</v>
      </c>
      <c r="C53" s="42" t="s">
        <v>583</v>
      </c>
      <c r="D53" s="42" t="str">
        <f>IFERROR(CONCATENATE(C53,". ",VLOOKUP(C53,'results, prods y acts'!$D$2:$E$12,2,FALSE)),CONCATENATE(C53,". "))</f>
        <v xml:space="preserve">P6. </v>
      </c>
      <c r="E53" s="42"/>
      <c r="F53" s="42" t="str">
        <f>IFERROR(CONCATENATE(E53,". ",VLOOKUP(E53,'results, prods y acts'!$G$2:$H$16,2,FALSE)),"")</f>
        <v/>
      </c>
      <c r="G53" s="20" t="s">
        <v>57</v>
      </c>
      <c r="H53" s="21" t="s">
        <v>79</v>
      </c>
      <c r="I53" s="22" t="s">
        <v>485</v>
      </c>
      <c r="J53" s="12" t="s">
        <v>80</v>
      </c>
      <c r="K53" s="7" t="str">
        <f t="shared" si="0"/>
        <v>R1.P6.3.1. Reuniones de coordinación con MINSA para absolver consultas relacionadas a la programación y distribución oportuna de las vacunas y sulfato ferroso a los GSN</v>
      </c>
      <c r="L53" s="33" t="s">
        <v>33</v>
      </c>
      <c r="M53" s="33" t="s">
        <v>31</v>
      </c>
      <c r="N53" s="1" t="s">
        <v>41</v>
      </c>
      <c r="O53" s="7" t="s">
        <v>63</v>
      </c>
      <c r="P53" s="25"/>
      <c r="Q53" s="25"/>
      <c r="R53" s="47"/>
      <c r="S53" s="24">
        <v>1</v>
      </c>
      <c r="T53" s="25"/>
      <c r="U53" s="25"/>
      <c r="V53" s="25"/>
      <c r="W53" s="25"/>
      <c r="X53" s="25"/>
      <c r="Y53" s="25">
        <v>1</v>
      </c>
      <c r="Z53" s="25"/>
      <c r="AA53" s="25"/>
      <c r="AB53" s="11">
        <f t="shared" si="4"/>
        <v>2</v>
      </c>
    </row>
    <row r="54" spans="1:28" ht="45.6">
      <c r="A54" s="18" t="s">
        <v>3</v>
      </c>
      <c r="B54" s="42" t="str">
        <f>IFERROR(CONCATENATE(A54,". ",VLOOKUP(A54,'results, prods y acts'!$A$2:$B$8,2,FALSE)),"")</f>
        <v>R1. Los procesos de gestión de gasto corriente vinculados a los servicios básicos priorizados a cargo de los GSN son más eficaces y eficientes</v>
      </c>
      <c r="C54" s="42" t="s">
        <v>583</v>
      </c>
      <c r="D54" s="42" t="str">
        <f>IFERROR(CONCATENATE(C54,". ",VLOOKUP(C54,'results, prods y acts'!$D$2:$E$12,2,FALSE)),CONCATENATE(C54,". "))</f>
        <v xml:space="preserve">P6. </v>
      </c>
      <c r="E54" s="42"/>
      <c r="F54" s="42" t="str">
        <f>IFERROR(CONCATENATE(E54,". ",VLOOKUP(E54,'results, prods y acts'!$G$2:$H$16,2,FALSE)),"")</f>
        <v/>
      </c>
      <c r="G54" s="20" t="s">
        <v>57</v>
      </c>
      <c r="H54" s="21" t="s">
        <v>92</v>
      </c>
      <c r="I54" s="22" t="s">
        <v>486</v>
      </c>
      <c r="J54" s="12" t="s">
        <v>93</v>
      </c>
      <c r="K54" s="7" t="str">
        <f t="shared" si="0"/>
        <v>R1.P6.4.1. Reuniones de trabajo para promover la articulación de la planificación operativa y la programación de la demanda de bienes y servicios relacionados con los servicios básicos priorizados y fortalecimiento de capacidades a los GSN. Coordinación de atención de consultas de los GSN.</v>
      </c>
      <c r="L54" s="33" t="s">
        <v>33</v>
      </c>
      <c r="M54" s="33" t="s">
        <v>31</v>
      </c>
      <c r="N54" s="1" t="s">
        <v>41</v>
      </c>
      <c r="O54" s="7" t="s">
        <v>94</v>
      </c>
      <c r="P54" s="23"/>
      <c r="Q54" s="25">
        <v>1</v>
      </c>
      <c r="R54" s="25"/>
      <c r="S54" s="23">
        <v>1</v>
      </c>
      <c r="T54" s="25"/>
      <c r="U54" s="25"/>
      <c r="V54" s="25"/>
      <c r="W54" s="25"/>
      <c r="X54" s="25"/>
      <c r="Y54" s="25"/>
      <c r="Z54" s="25"/>
      <c r="AA54" s="25"/>
      <c r="AB54" s="11">
        <f t="shared" si="4"/>
        <v>2</v>
      </c>
    </row>
    <row r="55" spans="1:28" ht="22.8">
      <c r="A55" s="18" t="s">
        <v>98</v>
      </c>
      <c r="B55" s="42" t="str">
        <f>IFERROR(CONCATENATE(A55,". ",VLOOKUP(A55,'results, prods y acts'!$A$2:$B$8,2,FALSE)),"")</f>
        <v>R2. Los procesos de gestión de gasto de capital vinculados a los servicios priorizados a cargo de los GSN son más eficaces y eficientes</v>
      </c>
      <c r="C55" s="21" t="s">
        <v>5</v>
      </c>
      <c r="D55" s="42" t="str">
        <f>IFERROR(CONCATENATE(C55,". ",VLOOKUP(C55,'results, prods y acts'!$D$2:$E$12,2,FALSE)),CONCATENATE(C55,". "))</f>
        <v>P1. Asistencia técnica</v>
      </c>
      <c r="E55" s="42" t="str" cm="1">
        <f t="array" ref="E55">IFERROR(INDEX(_xlfn.TEXTSPLIT(I55,"."),2)&amp;"."&amp;INDEX(_xlfn.TEXTSPLIT(I55,"."),3),"")</f>
        <v>P1.2</v>
      </c>
      <c r="F55" s="42" t="str">
        <f>IFERROR(CONCATENATE(E55,". ",VLOOKUP(E55,'results, prods y acts'!$G$2:$H$16,2,FALSE)),"")</f>
        <v>P1.2. Acompañamiento</v>
      </c>
      <c r="G55" s="20" t="s">
        <v>4</v>
      </c>
      <c r="H55" s="20"/>
      <c r="I55" s="22" t="s">
        <v>99</v>
      </c>
      <c r="J55" s="7" t="s">
        <v>100</v>
      </c>
      <c r="K55" s="7" t="str">
        <f t="shared" si="0"/>
        <v>R2.P1.2.2. Acompañamiento de los proyectos de inversión, gestionado desde el gobierno nacional de interés regional.</v>
      </c>
      <c r="L55" s="34" t="s">
        <v>8</v>
      </c>
      <c r="M55" s="34" t="s">
        <v>9</v>
      </c>
      <c r="N55" s="1" t="s">
        <v>10</v>
      </c>
      <c r="O55" s="15" t="s">
        <v>351</v>
      </c>
      <c r="P55" s="25"/>
      <c r="Q55" s="25"/>
      <c r="R55" s="25">
        <v>1</v>
      </c>
      <c r="S55" s="25"/>
      <c r="T55" s="25"/>
      <c r="U55" s="26">
        <v>1</v>
      </c>
      <c r="V55" s="2"/>
      <c r="W55" s="2"/>
      <c r="X55" s="2">
        <v>1</v>
      </c>
      <c r="Y55" s="2"/>
      <c r="Z55" s="2"/>
      <c r="AA55" s="26">
        <v>1</v>
      </c>
      <c r="AB55" s="11">
        <f t="shared" ref="AB55:AB62" si="5">SUM(P55:AA55)</f>
        <v>4</v>
      </c>
    </row>
    <row r="56" spans="1:28" ht="22.8">
      <c r="A56" s="18" t="s">
        <v>98</v>
      </c>
      <c r="B56" s="42" t="str">
        <f>IFERROR(CONCATENATE(A56,". ",VLOOKUP(A56,'results, prods y acts'!$A$2:$B$8,2,FALSE)),"")</f>
        <v>R2. Los procesos de gestión de gasto de capital vinculados a los servicios priorizados a cargo de los GSN son más eficaces y eficientes</v>
      </c>
      <c r="C56" s="21" t="s">
        <v>5</v>
      </c>
      <c r="D56" s="42" t="str">
        <f>IFERROR(CONCATENATE(C56,". ",VLOOKUP(C56,'results, prods y acts'!$D$2:$E$12,2,FALSE)),CONCATENATE(C56,". "))</f>
        <v>P1. Asistencia técnica</v>
      </c>
      <c r="E56" s="42" t="str" cm="1">
        <f t="array" ref="E56">IFERROR(INDEX(_xlfn.TEXTSPLIT(I56,"."),2)&amp;"."&amp;INDEX(_xlfn.TEXTSPLIT(I56,"."),3),"")</f>
        <v>P1.2</v>
      </c>
      <c r="F56" s="42" t="str">
        <f>IFERROR(CONCATENATE(E56,". ",VLOOKUP(E56,'results, prods y acts'!$G$2:$H$16,2,FALSE)),"")</f>
        <v>P1.2. Acompañamiento</v>
      </c>
      <c r="G56" s="20" t="s">
        <v>4</v>
      </c>
      <c r="H56" s="20"/>
      <c r="I56" s="22" t="s">
        <v>101</v>
      </c>
      <c r="J56" s="7" t="s">
        <v>102</v>
      </c>
      <c r="K56" s="7" t="str">
        <f t="shared" si="0"/>
        <v>R2.P1.2.3. Acompañamiento en la fase de Programación Multianual de Inversiones, y en particular de la cartera priorizada con el GSN.</v>
      </c>
      <c r="L56" s="34" t="s">
        <v>8</v>
      </c>
      <c r="M56" s="34" t="s">
        <v>9</v>
      </c>
      <c r="N56" s="1" t="s">
        <v>10</v>
      </c>
      <c r="O56" s="6" t="s">
        <v>352</v>
      </c>
      <c r="P56" s="25"/>
      <c r="Q56" s="25"/>
      <c r="R56" s="24">
        <v>11</v>
      </c>
      <c r="S56" s="25"/>
      <c r="T56" s="25"/>
      <c r="U56" s="2"/>
      <c r="V56" s="2"/>
      <c r="W56" s="2"/>
      <c r="X56" s="2"/>
      <c r="Y56" s="2"/>
      <c r="Z56" s="2"/>
      <c r="AA56" s="2"/>
      <c r="AB56" s="11">
        <f t="shared" si="5"/>
        <v>11</v>
      </c>
    </row>
    <row r="57" spans="1:28" ht="22.8">
      <c r="A57" s="18" t="s">
        <v>98</v>
      </c>
      <c r="B57" s="42" t="str">
        <f>IFERROR(CONCATENATE(A57,". ",VLOOKUP(A57,'results, prods y acts'!$A$2:$B$8,2,FALSE)),"")</f>
        <v>R2. Los procesos de gestión de gasto de capital vinculados a los servicios priorizados a cargo de los GSN son más eficaces y eficientes</v>
      </c>
      <c r="C57" s="21" t="s">
        <v>5</v>
      </c>
      <c r="D57" s="42" t="str">
        <f>IFERROR(CONCATENATE(C57,". ",VLOOKUP(C57,'results, prods y acts'!$D$2:$E$12,2,FALSE)),CONCATENATE(C57,". "))</f>
        <v>P1. Asistencia técnica</v>
      </c>
      <c r="E57" s="42" t="str" cm="1">
        <f t="array" ref="E57">IFERROR(INDEX(_xlfn.TEXTSPLIT(I57,"."),2)&amp;"."&amp;INDEX(_xlfn.TEXTSPLIT(I57,"."),3),"")</f>
        <v>P1.2</v>
      </c>
      <c r="F57" s="42" t="str">
        <f>IFERROR(CONCATENATE(E57,". ",VLOOKUP(E57,'results, prods y acts'!$G$2:$H$16,2,FALSE)),"")</f>
        <v>P1.2. Acompañamiento</v>
      </c>
      <c r="G57" s="20" t="s">
        <v>4</v>
      </c>
      <c r="H57" s="20"/>
      <c r="I57" s="22" t="s">
        <v>103</v>
      </c>
      <c r="J57" s="7" t="s">
        <v>104</v>
      </c>
      <c r="K57" s="7" t="str">
        <f t="shared" si="0"/>
        <v>R2.P1.2.4. Acompañamiento en la consistencia del PMI 2025 con el PIA 2026 del GSN.</v>
      </c>
      <c r="L57" s="34" t="s">
        <v>8</v>
      </c>
      <c r="M57" s="34" t="s">
        <v>12</v>
      </c>
      <c r="N57" s="1" t="s">
        <v>10</v>
      </c>
      <c r="O57" s="6" t="s">
        <v>353</v>
      </c>
      <c r="P57" s="25"/>
      <c r="Q57" s="25"/>
      <c r="R57" s="25"/>
      <c r="S57" s="25"/>
      <c r="T57" s="25"/>
      <c r="U57" s="2"/>
      <c r="V57" s="2"/>
      <c r="W57" s="2"/>
      <c r="X57" s="2"/>
      <c r="Y57" s="26">
        <v>11</v>
      </c>
      <c r="Z57" s="2"/>
      <c r="AA57" s="2"/>
      <c r="AB57" s="11">
        <f t="shared" si="5"/>
        <v>11</v>
      </c>
    </row>
    <row r="58" spans="1:28" ht="22.8">
      <c r="A58" s="18" t="s">
        <v>98</v>
      </c>
      <c r="B58" s="42" t="str">
        <f>IFERROR(CONCATENATE(A58,". ",VLOOKUP(A58,'results, prods y acts'!$A$2:$B$8,2,FALSE)),"")</f>
        <v>R2. Los procesos de gestión de gasto de capital vinculados a los servicios priorizados a cargo de los GSN son más eficaces y eficientes</v>
      </c>
      <c r="C58" s="21" t="s">
        <v>5</v>
      </c>
      <c r="D58" s="42" t="str">
        <f>IFERROR(CONCATENATE(C58,". ",VLOOKUP(C58,'results, prods y acts'!$D$2:$E$12,2,FALSE)),CONCATENATE(C58,". "))</f>
        <v>P1. Asistencia técnica</v>
      </c>
      <c r="E58" s="42" t="str" cm="1">
        <f t="array" ref="E58">IFERROR(INDEX(_xlfn.TEXTSPLIT(I58,"."),2)&amp;"."&amp;INDEX(_xlfn.TEXTSPLIT(I58,"."),3),"")</f>
        <v>P1.2</v>
      </c>
      <c r="F58" s="42" t="str">
        <f>IFERROR(CONCATENATE(E58,". ",VLOOKUP(E58,'results, prods y acts'!$G$2:$H$16,2,FALSE)),"")</f>
        <v>P1.2. Acompañamiento</v>
      </c>
      <c r="G58" s="20" t="s">
        <v>4</v>
      </c>
      <c r="H58" s="20"/>
      <c r="I58" s="22" t="s">
        <v>105</v>
      </c>
      <c r="J58" s="7" t="s">
        <v>106</v>
      </c>
      <c r="K58" s="7" t="str">
        <f t="shared" si="0"/>
        <v>R2.P1.2.5. Acompañamiento en la fase de Formulación y Evaluación de Inversiones, y en particular de la cartera priorizada con el GSN.</v>
      </c>
      <c r="L58" s="34" t="s">
        <v>8</v>
      </c>
      <c r="M58" s="34" t="s">
        <v>9</v>
      </c>
      <c r="N58" s="1" t="s">
        <v>10</v>
      </c>
      <c r="O58" s="6" t="s">
        <v>354</v>
      </c>
      <c r="P58" s="25"/>
      <c r="Q58" s="25"/>
      <c r="R58" s="25"/>
      <c r="S58" s="25"/>
      <c r="T58" s="25"/>
      <c r="U58" s="26">
        <v>2</v>
      </c>
      <c r="V58" s="2"/>
      <c r="W58" s="2"/>
      <c r="X58" s="2"/>
      <c r="Y58" s="2"/>
      <c r="Z58" s="2"/>
      <c r="AA58" s="26">
        <v>2</v>
      </c>
      <c r="AB58" s="11">
        <f t="shared" si="5"/>
        <v>4</v>
      </c>
    </row>
    <row r="59" spans="1:28" ht="22.8">
      <c r="A59" s="18" t="s">
        <v>98</v>
      </c>
      <c r="B59" s="42" t="str">
        <f>IFERROR(CONCATENATE(A59,". ",VLOOKUP(A59,'results, prods y acts'!$A$2:$B$8,2,FALSE)),"")</f>
        <v>R2. Los procesos de gestión de gasto de capital vinculados a los servicios priorizados a cargo de los GSN son más eficaces y eficientes</v>
      </c>
      <c r="C59" s="21" t="s">
        <v>5</v>
      </c>
      <c r="D59" s="42" t="str">
        <f>IFERROR(CONCATENATE(C59,". ",VLOOKUP(C59,'results, prods y acts'!$D$2:$E$12,2,FALSE)),CONCATENATE(C59,". "))</f>
        <v>P1. Asistencia técnica</v>
      </c>
      <c r="E59" s="42" t="str" cm="1">
        <f t="array" ref="E59">IFERROR(INDEX(_xlfn.TEXTSPLIT(I59,"."),2)&amp;"."&amp;INDEX(_xlfn.TEXTSPLIT(I59,"."),3),"")</f>
        <v>P1.2</v>
      </c>
      <c r="F59" s="42" t="str">
        <f>IFERROR(CONCATENATE(E59,". ",VLOOKUP(E59,'results, prods y acts'!$G$2:$H$16,2,FALSE)),"")</f>
        <v>P1.2. Acompañamiento</v>
      </c>
      <c r="G59" s="20" t="s">
        <v>4</v>
      </c>
      <c r="H59" s="20"/>
      <c r="I59" s="22" t="s">
        <v>107</v>
      </c>
      <c r="J59" s="7" t="s">
        <v>108</v>
      </c>
      <c r="K59" s="7" t="str">
        <f t="shared" si="0"/>
        <v>R2.P1.2.6. Acompañamiento en la fase de Ejecución de Inversiones, y en particular de la cartera priorizada con el GSN.</v>
      </c>
      <c r="L59" s="34" t="s">
        <v>8</v>
      </c>
      <c r="M59" s="34" t="s">
        <v>12</v>
      </c>
      <c r="N59" s="1" t="s">
        <v>10</v>
      </c>
      <c r="O59" s="6" t="s">
        <v>355</v>
      </c>
      <c r="P59" s="25"/>
      <c r="Q59" s="25"/>
      <c r="R59" s="24">
        <v>11</v>
      </c>
      <c r="S59" s="25"/>
      <c r="T59" s="25"/>
      <c r="U59" s="26">
        <v>11</v>
      </c>
      <c r="V59" s="2"/>
      <c r="W59" s="2"/>
      <c r="X59" s="26">
        <v>11</v>
      </c>
      <c r="Y59" s="2"/>
      <c r="Z59" s="2"/>
      <c r="AA59" s="26">
        <v>11</v>
      </c>
      <c r="AB59" s="11">
        <f t="shared" si="5"/>
        <v>44</v>
      </c>
    </row>
    <row r="60" spans="1:28" ht="22.8">
      <c r="A60" s="18" t="s">
        <v>98</v>
      </c>
      <c r="B60" s="42" t="str">
        <f>IFERROR(CONCATENATE(A60,". ",VLOOKUP(A60,'results, prods y acts'!$A$2:$B$8,2,FALSE)),"")</f>
        <v>R2. Los procesos de gestión de gasto de capital vinculados a los servicios priorizados a cargo de los GSN son más eficaces y eficientes</v>
      </c>
      <c r="C60" s="21" t="s">
        <v>5</v>
      </c>
      <c r="D60" s="42" t="str">
        <f>IFERROR(CONCATENATE(C60,". ",VLOOKUP(C60,'results, prods y acts'!$D$2:$E$12,2,FALSE)),CONCATENATE(C60,". "))</f>
        <v>P1. Asistencia técnica</v>
      </c>
      <c r="E60" s="42" t="str" cm="1">
        <f t="array" ref="E60">IFERROR(INDEX(_xlfn.TEXTSPLIT(I60,"."),2)&amp;"."&amp;INDEX(_xlfn.TEXTSPLIT(I60,"."),3),"")</f>
        <v>P1.2</v>
      </c>
      <c r="F60" s="42" t="str">
        <f>IFERROR(CONCATENATE(E60,". ",VLOOKUP(E60,'results, prods y acts'!$G$2:$H$16,2,FALSE)),"")</f>
        <v>P1.2. Acompañamiento</v>
      </c>
      <c r="G60" s="20" t="s">
        <v>4</v>
      </c>
      <c r="H60" s="20"/>
      <c r="I60" s="22" t="s">
        <v>109</v>
      </c>
      <c r="J60" s="7" t="s">
        <v>110</v>
      </c>
      <c r="K60" s="7" t="str">
        <f t="shared" si="0"/>
        <v>R2.P1.2.7. Acompañamiento para la verificación de avance físico de la ejecución de inversiones de la cartera priorizada con el GSN.</v>
      </c>
      <c r="L60" s="34" t="s">
        <v>8</v>
      </c>
      <c r="M60" s="34" t="s">
        <v>111</v>
      </c>
      <c r="N60" s="1" t="s">
        <v>10</v>
      </c>
      <c r="O60" s="6" t="s">
        <v>356</v>
      </c>
      <c r="P60" s="25"/>
      <c r="Q60" s="25"/>
      <c r="R60" s="25"/>
      <c r="S60" s="25"/>
      <c r="T60" s="25"/>
      <c r="U60" s="26">
        <v>35</v>
      </c>
      <c r="V60" s="2"/>
      <c r="W60" s="2"/>
      <c r="X60" s="2"/>
      <c r="Y60" s="2"/>
      <c r="Z60" s="2"/>
      <c r="AA60" s="26">
        <v>40</v>
      </c>
      <c r="AB60" s="11">
        <f t="shared" si="5"/>
        <v>75</v>
      </c>
    </row>
    <row r="61" spans="1:28" ht="22.8">
      <c r="A61" s="18" t="s">
        <v>98</v>
      </c>
      <c r="B61" s="42" t="str">
        <f>IFERROR(CONCATENATE(A61,". ",VLOOKUP(A61,'results, prods y acts'!$A$2:$B$8,2,FALSE)),"")</f>
        <v>R2. Los procesos de gestión de gasto de capital vinculados a los servicios priorizados a cargo de los GSN son más eficaces y eficientes</v>
      </c>
      <c r="C61" s="21" t="s">
        <v>5</v>
      </c>
      <c r="D61" s="42" t="str">
        <f>IFERROR(CONCATENATE(C61,". ",VLOOKUP(C61,'results, prods y acts'!$D$2:$E$12,2,FALSE)),CONCATENATE(C61,". "))</f>
        <v>P1. Asistencia técnica</v>
      </c>
      <c r="E61" s="42" t="str" cm="1">
        <f t="array" ref="E61">IFERROR(INDEX(_xlfn.TEXTSPLIT(I61,"."),2)&amp;"."&amp;INDEX(_xlfn.TEXTSPLIT(I61,"."),3),"")</f>
        <v>P1.2</v>
      </c>
      <c r="F61" s="42" t="str">
        <f>IFERROR(CONCATENATE(E61,". ",VLOOKUP(E61,'results, prods y acts'!$G$2:$H$16,2,FALSE)),"")</f>
        <v>P1.2. Acompañamiento</v>
      </c>
      <c r="G61" s="20" t="s">
        <v>4</v>
      </c>
      <c r="H61" s="20"/>
      <c r="I61" s="22" t="s">
        <v>112</v>
      </c>
      <c r="J61" s="7" t="s">
        <v>113</v>
      </c>
      <c r="K61" s="7" t="str">
        <f t="shared" si="0"/>
        <v>R2.P1.2.8. Acompañamiento para la verificación del funcionamiento de las inversiones concluidas de la cartera priorizada con el GSN</v>
      </c>
      <c r="L61" s="34" t="s">
        <v>8</v>
      </c>
      <c r="M61" s="34" t="s">
        <v>111</v>
      </c>
      <c r="N61" s="1" t="s">
        <v>10</v>
      </c>
      <c r="O61" s="6" t="s">
        <v>357</v>
      </c>
      <c r="P61" s="25"/>
      <c r="Q61" s="25">
        <v>1</v>
      </c>
      <c r="R61" s="25"/>
      <c r="S61" s="25">
        <v>1</v>
      </c>
      <c r="T61" s="25"/>
      <c r="U61" s="26">
        <v>1</v>
      </c>
      <c r="V61" s="2"/>
      <c r="W61" s="2">
        <v>2</v>
      </c>
      <c r="X61" s="2"/>
      <c r="Y61" s="2">
        <v>2</v>
      </c>
      <c r="Z61" s="2"/>
      <c r="AA61" s="2"/>
      <c r="AB61" s="11">
        <f t="shared" si="5"/>
        <v>7</v>
      </c>
    </row>
    <row r="62" spans="1:28" ht="34.200000000000003">
      <c r="A62" s="18" t="s">
        <v>98</v>
      </c>
      <c r="B62" s="42" t="str">
        <f>IFERROR(CONCATENATE(A62,". ",VLOOKUP(A62,'results, prods y acts'!$A$2:$B$8,2,FALSE)),"")</f>
        <v>R2. Los procesos de gestión de gasto de capital vinculados a los servicios priorizados a cargo de los GSN son más eficaces y eficientes</v>
      </c>
      <c r="C62" s="21" t="s">
        <v>5</v>
      </c>
      <c r="D62" s="42" t="str">
        <f>IFERROR(CONCATENATE(C62,". ",VLOOKUP(C62,'results, prods y acts'!$D$2:$E$12,2,FALSE)),CONCATENATE(C62,". "))</f>
        <v>P1. Asistencia técnica</v>
      </c>
      <c r="E62" s="42" t="str" cm="1">
        <f t="array" ref="E62">IFERROR(INDEX(_xlfn.TEXTSPLIT(I62,"."),2)&amp;"."&amp;INDEX(_xlfn.TEXTSPLIT(I62,"."),3),"")</f>
        <v>P1.3</v>
      </c>
      <c r="F62" s="42" t="str">
        <f>IFERROR(CONCATENATE(E62,". ",VLOOKUP(E62,'results, prods y acts'!$G$2:$H$16,2,FALSE)),"")</f>
        <v>P1.3. Reuniones de retroalimentación</v>
      </c>
      <c r="G62" s="20" t="s">
        <v>4</v>
      </c>
      <c r="H62" s="20"/>
      <c r="I62" s="22" t="s">
        <v>114</v>
      </c>
      <c r="J62" s="7" t="s">
        <v>115</v>
      </c>
      <c r="K62" s="7" t="str">
        <f t="shared" si="0"/>
        <v>R2.P1.3.1. Reuniones retroalimentación para el seguimiento de la Ejecución de la cartera de inversiones que maneja el GSN, y en particular de la cartera priorizada con el GSN.</v>
      </c>
      <c r="L62" s="34" t="s">
        <v>116</v>
      </c>
      <c r="M62" s="34" t="s">
        <v>31</v>
      </c>
      <c r="N62" s="33" t="s">
        <v>10</v>
      </c>
      <c r="O62" s="6" t="s">
        <v>358</v>
      </c>
      <c r="P62" s="25"/>
      <c r="Q62" s="25"/>
      <c r="R62" s="24">
        <v>11</v>
      </c>
      <c r="S62" s="25"/>
      <c r="T62" s="25"/>
      <c r="U62" s="26">
        <v>11</v>
      </c>
      <c r="V62" s="2"/>
      <c r="W62" s="2"/>
      <c r="X62" s="26">
        <v>11</v>
      </c>
      <c r="Y62" s="2"/>
      <c r="Z62" s="2"/>
      <c r="AA62" s="26">
        <v>11</v>
      </c>
      <c r="AB62" s="11">
        <f t="shared" si="5"/>
        <v>44</v>
      </c>
    </row>
    <row r="63" spans="1:28" ht="21.9" customHeight="1">
      <c r="A63" s="18" t="s">
        <v>98</v>
      </c>
      <c r="B63" s="42" t="str">
        <f>IFERROR(CONCATENATE(A63,". ",VLOOKUP(A63,'results, prods y acts'!$A$2:$B$8,2,FALSE)),"")</f>
        <v>R2. Los procesos de gestión de gasto de capital vinculados a los servicios priorizados a cargo de los GSN son más eficaces y eficientes</v>
      </c>
      <c r="C63" s="21" t="s">
        <v>37</v>
      </c>
      <c r="D63" s="42" t="str">
        <f>IFERROR(CONCATENATE(C63,". ",VLOOKUP(C63,'results, prods y acts'!$D$2:$E$12,2,FALSE)),CONCATENATE(C63,". "))</f>
        <v>P2. Fortalecimiento de capacidades</v>
      </c>
      <c r="E63" s="42" t="str" cm="1">
        <f t="array" ref="E63">IFERROR(INDEX(_xlfn.TEXTSPLIT(I63,"."),2)&amp;"."&amp;INDEX(_xlfn.TEXTSPLIT(I63,"."),3),"")</f>
        <v>P2.1</v>
      </c>
      <c r="F63" s="42" t="str">
        <f>IFERROR(CONCATENATE(E63,". ",VLOOKUP(E63,'results, prods y acts'!$G$2:$H$16,2,FALSE)),"")</f>
        <v>P2.1. Cursos</v>
      </c>
      <c r="G63" s="20" t="s">
        <v>4</v>
      </c>
      <c r="H63" s="20"/>
      <c r="I63" s="22" t="s">
        <v>117</v>
      </c>
      <c r="J63" s="7" t="s">
        <v>118</v>
      </c>
      <c r="K63" s="7" t="str">
        <f t="shared" si="0"/>
        <v>R2.P2.1.1. Curso relacionados a la gestión de inversiones (incluye presencial en regiones)</v>
      </c>
      <c r="L63" s="34" t="s">
        <v>81</v>
      </c>
      <c r="M63" s="34" t="s">
        <v>52</v>
      </c>
      <c r="N63" s="33" t="s">
        <v>46</v>
      </c>
      <c r="O63" s="6" t="s">
        <v>359</v>
      </c>
      <c r="P63" s="25"/>
      <c r="Q63" s="25"/>
      <c r="R63" s="25">
        <v>1</v>
      </c>
      <c r="S63" s="25">
        <v>1</v>
      </c>
      <c r="T63" s="25">
        <v>1</v>
      </c>
      <c r="U63" s="2"/>
      <c r="V63" s="2"/>
      <c r="W63" s="2"/>
      <c r="X63" s="2"/>
      <c r="Y63" s="2"/>
      <c r="Z63" s="2"/>
      <c r="AA63" s="26"/>
      <c r="AB63" s="11">
        <f t="shared" ref="AB63:AB72" si="6">SUM(P63:AA63)</f>
        <v>3</v>
      </c>
    </row>
    <row r="64" spans="1:28" ht="21.9" customHeight="1">
      <c r="A64" s="18" t="s">
        <v>98</v>
      </c>
      <c r="B64" s="42" t="str">
        <f>IFERROR(CONCATENATE(A64,". ",VLOOKUP(A64,'results, prods y acts'!$A$2:$B$8,2,FALSE)),"")</f>
        <v>R2. Los procesos de gestión de gasto de capital vinculados a los servicios priorizados a cargo de los GSN son más eficaces y eficientes</v>
      </c>
      <c r="C64" s="21" t="s">
        <v>37</v>
      </c>
      <c r="D64" s="42" t="str">
        <f>IFERROR(CONCATENATE(C64,". ",VLOOKUP(C64,'results, prods y acts'!$D$2:$E$12,2,FALSE)),CONCATENATE(C64,". "))</f>
        <v>P2. Fortalecimiento de capacidades</v>
      </c>
      <c r="E64" s="42" t="str" cm="1">
        <f t="array" ref="E64">IFERROR(INDEX(_xlfn.TEXTSPLIT(I64,"."),2)&amp;"."&amp;INDEX(_xlfn.TEXTSPLIT(I64,"."),3),"")</f>
        <v>P2.5</v>
      </c>
      <c r="F64" s="42" t="str">
        <f>IFERROR(CONCATENATE(E64,". ",VLOOKUP(E64,'results, prods y acts'!$G$2:$H$16,2,FALSE)),"")</f>
        <v>P2.5. Charla</v>
      </c>
      <c r="G64" s="20" t="s">
        <v>4</v>
      </c>
      <c r="H64" s="20"/>
      <c r="I64" s="22" t="s">
        <v>121</v>
      </c>
      <c r="J64" s="7" t="s">
        <v>122</v>
      </c>
      <c r="K64" s="7" t="str">
        <f t="shared" si="0"/>
        <v>R2.P2.5.1. Charlas sobre normatividad sectorial, y/o diversos items vinvulados a la gestion de inversiones.</v>
      </c>
      <c r="L64" s="34" t="s">
        <v>123</v>
      </c>
      <c r="M64" s="34" t="s">
        <v>36</v>
      </c>
      <c r="N64" s="33" t="s">
        <v>46</v>
      </c>
      <c r="O64" s="6" t="s">
        <v>360</v>
      </c>
      <c r="P64" s="25"/>
      <c r="Q64" s="25"/>
      <c r="R64" s="25"/>
      <c r="S64" s="25">
        <v>1</v>
      </c>
      <c r="T64" s="25">
        <v>2</v>
      </c>
      <c r="U64" s="26">
        <v>2</v>
      </c>
      <c r="V64" s="2">
        <v>2</v>
      </c>
      <c r="W64" s="2">
        <v>2</v>
      </c>
      <c r="X64" s="2">
        <v>2</v>
      </c>
      <c r="Y64" s="2">
        <v>2</v>
      </c>
      <c r="Z64" s="2">
        <v>2</v>
      </c>
      <c r="AA64" s="26">
        <v>2</v>
      </c>
      <c r="AB64" s="11">
        <f t="shared" si="6"/>
        <v>17</v>
      </c>
    </row>
    <row r="65" spans="1:28" ht="21.9" customHeight="1">
      <c r="A65" s="18" t="s">
        <v>98</v>
      </c>
      <c r="B65" s="42" t="str">
        <f>IFERROR(CONCATENATE(A65,". ",VLOOKUP(A65,'results, prods y acts'!$A$2:$B$8,2,FALSE)),"")</f>
        <v>R2. Los procesos de gestión de gasto de capital vinculados a los servicios priorizados a cargo de los GSN son más eficaces y eficientes</v>
      </c>
      <c r="C65" s="21" t="s">
        <v>53</v>
      </c>
      <c r="D65" s="42" t="str">
        <f>IFERROR(CONCATENATE(C65,". ",VLOOKUP(C65,'results, prods y acts'!$D$2:$E$12,2,FALSE)),CONCATENATE(C65,". "))</f>
        <v>P3. Instrumentos de mejora de la gestión</v>
      </c>
      <c r="E65" s="42" t="str" cm="1">
        <f t="array" ref="E65">IFERROR(INDEX(_xlfn.TEXTSPLIT(I65,"."),2)&amp;"."&amp;INDEX(_xlfn.TEXTSPLIT(I65,"."),3),"")</f>
        <v>P3.4</v>
      </c>
      <c r="F65" s="42" t="str">
        <f>IFERROR(CONCATENATE(E65,". ",VLOOKUP(E65,'results, prods y acts'!$G$2:$H$16,2,FALSE)),"")</f>
        <v>P3.4. Propuesta de modificación técnico-administrativa a nivel institucional</v>
      </c>
      <c r="G65" s="20" t="s">
        <v>4</v>
      </c>
      <c r="H65" s="20"/>
      <c r="I65" s="22" t="s">
        <v>124</v>
      </c>
      <c r="J65" s="7" t="s">
        <v>125</v>
      </c>
      <c r="K65" s="7" t="str">
        <f t="shared" si="0"/>
        <v>R2.P3.4.1. Acompañamiento en desarrollo de instrumentos de gestión relacionadas con las inversiones</v>
      </c>
      <c r="L65" s="34" t="s">
        <v>8</v>
      </c>
      <c r="M65" s="34" t="s">
        <v>9</v>
      </c>
      <c r="N65" s="33" t="s">
        <v>10</v>
      </c>
      <c r="O65" s="42" t="s">
        <v>361</v>
      </c>
      <c r="P65" s="25"/>
      <c r="Q65" s="25"/>
      <c r="R65" s="25"/>
      <c r="S65" s="25">
        <v>1</v>
      </c>
      <c r="T65" s="25"/>
      <c r="U65" s="2"/>
      <c r="V65" s="2"/>
      <c r="W65" s="2"/>
      <c r="X65" s="2"/>
      <c r="Y65" s="2"/>
      <c r="Z65" s="2"/>
      <c r="AA65" s="2"/>
      <c r="AB65" s="11">
        <f t="shared" si="6"/>
        <v>1</v>
      </c>
    </row>
    <row r="66" spans="1:28" ht="21.9" customHeight="1">
      <c r="A66" s="18" t="s">
        <v>98</v>
      </c>
      <c r="B66" s="42" t="str">
        <f>IFERROR(CONCATENATE(A66,". ",VLOOKUP(A66,'results, prods y acts'!$A$2:$B$8,2,FALSE)),"")</f>
        <v>R2. Los procesos de gestión de gasto de capital vinculados a los servicios priorizados a cargo de los GSN son más eficaces y eficientes</v>
      </c>
      <c r="C66" s="21" t="s">
        <v>53</v>
      </c>
      <c r="D66" s="42" t="str">
        <f>IFERROR(CONCATENATE(C66,". ",VLOOKUP(C66,'results, prods y acts'!$D$2:$E$12,2,FALSE)),CONCATENATE(C66,". "))</f>
        <v>P3. Instrumentos de mejora de la gestión</v>
      </c>
      <c r="E66" s="42" t="str" cm="1">
        <f t="array" ref="E66">IFERROR(INDEX(_xlfn.TEXTSPLIT(I66,"."),2)&amp;"."&amp;INDEX(_xlfn.TEXTSPLIT(I66,"."),3),"")</f>
        <v>P3.5</v>
      </c>
      <c r="F66" s="42" t="str">
        <f>IFERROR(CONCATENATE(E66,". ",VLOOKUP(E66,'results, prods y acts'!$G$2:$H$16,2,FALSE)),"")</f>
        <v>P3.5. Propuesta de modificación técnico-administrativa a nivel sectorial</v>
      </c>
      <c r="G66" s="20" t="s">
        <v>4</v>
      </c>
      <c r="H66" s="20"/>
      <c r="I66" s="22" t="s">
        <v>126</v>
      </c>
      <c r="J66" s="7" t="s">
        <v>369</v>
      </c>
      <c r="K66" s="7" t="str">
        <f t="shared" si="0"/>
        <v>R2.P3.5.1 . Propuesta de reforma técnico administrativa a nivel sectorial</v>
      </c>
      <c r="L66" s="34" t="s">
        <v>54</v>
      </c>
      <c r="M66" s="34" t="s">
        <v>55</v>
      </c>
      <c r="N66" s="33" t="s">
        <v>41</v>
      </c>
      <c r="O66" s="42" t="s">
        <v>361</v>
      </c>
      <c r="P66" s="25"/>
      <c r="Q66" s="25"/>
      <c r="R66" s="25"/>
      <c r="S66" s="25"/>
      <c r="T66" s="25"/>
      <c r="U66" s="2">
        <v>1</v>
      </c>
      <c r="V66" s="2"/>
      <c r="W66" s="2"/>
      <c r="X66" s="2"/>
      <c r="Y66" s="2"/>
      <c r="Z66" s="2"/>
      <c r="AA66" s="2"/>
      <c r="AB66" s="11">
        <f t="shared" si="6"/>
        <v>1</v>
      </c>
    </row>
    <row r="67" spans="1:28" ht="21.9" customHeight="1">
      <c r="A67" s="18" t="s">
        <v>98</v>
      </c>
      <c r="B67" s="42" t="str">
        <f>IFERROR(CONCATENATE(A67,". ",VLOOKUP(A67,'results, prods y acts'!$A$2:$B$8,2,FALSE)),"")</f>
        <v>R2. Los procesos de gestión de gasto de capital vinculados a los servicios priorizados a cargo de los GSN son más eficaces y eficientes</v>
      </c>
      <c r="C67" s="21" t="s">
        <v>64</v>
      </c>
      <c r="D67" s="42" t="str">
        <f>IFERROR(CONCATENATE(C67,". ",VLOOKUP(C67,'results, prods y acts'!$D$2:$E$12,2,FALSE)),CONCATENATE(C67,". "))</f>
        <v>P4. Tecnologia de la Informacion / Instrumentos de innovación</v>
      </c>
      <c r="E67" s="42" t="str" cm="1">
        <f t="array" ref="E67">IFERROR(INDEX(_xlfn.TEXTSPLIT(I67,"."),2)&amp;"."&amp;INDEX(_xlfn.TEXTSPLIT(I67,"."),3),"")</f>
        <v>P4.1</v>
      </c>
      <c r="F67" s="42" t="str">
        <f>IFERROR(CONCATENATE(E67,". ",VLOOKUP(E67,'results, prods y acts'!$G$2:$H$16,2,FALSE)),"")</f>
        <v>P4.1. Estrategia para la eficiencia de procesos</v>
      </c>
      <c r="G67" s="20" t="s">
        <v>4</v>
      </c>
      <c r="H67" s="20"/>
      <c r="I67" s="22" t="s">
        <v>82</v>
      </c>
      <c r="J67" s="7" t="s">
        <v>127</v>
      </c>
      <c r="K67" s="7" t="str">
        <f t="shared" ref="K67:K130" si="7">CONCATENATE(I67,". ",J67)</f>
        <v>R2.P4.1.1. Propuesta de Eficiencia de procesos</v>
      </c>
      <c r="L67" s="34" t="s">
        <v>54</v>
      </c>
      <c r="M67" s="34" t="s">
        <v>55</v>
      </c>
      <c r="N67" s="1" t="s">
        <v>41</v>
      </c>
      <c r="O67" s="42" t="s">
        <v>361</v>
      </c>
      <c r="P67" s="2"/>
      <c r="Q67" s="2"/>
      <c r="R67" s="25"/>
      <c r="S67" s="25"/>
      <c r="T67" s="25"/>
      <c r="U67" s="2"/>
      <c r="V67" s="2"/>
      <c r="W67" s="2"/>
      <c r="X67" s="2"/>
      <c r="Y67" s="2"/>
      <c r="Z67" s="2">
        <v>1</v>
      </c>
      <c r="AA67" s="2"/>
      <c r="AB67" s="11">
        <f t="shared" si="6"/>
        <v>1</v>
      </c>
    </row>
    <row r="68" spans="1:28" ht="21.9" customHeight="1">
      <c r="A68" s="18" t="s">
        <v>98</v>
      </c>
      <c r="B68" s="42" t="str">
        <f>IFERROR(CONCATENATE(A68,". ",VLOOKUP(A68,'results, prods y acts'!$A$2:$B$8,2,FALSE)),"")</f>
        <v>R2. Los procesos de gestión de gasto de capital vinculados a los servicios priorizados a cargo de los GSN son más eficaces y eficientes</v>
      </c>
      <c r="C68" s="21" t="s">
        <v>64</v>
      </c>
      <c r="D68" s="42" t="str">
        <f>IFERROR(CONCATENATE(C68,". ",VLOOKUP(C68,'results, prods y acts'!$D$2:$E$12,2,FALSE)),CONCATENATE(C68,". "))</f>
        <v>P4. Tecnologia de la Informacion / Instrumentos de innovación</v>
      </c>
      <c r="E68" s="42" t="str" cm="1">
        <f t="array" ref="E68">IFERROR(INDEX(_xlfn.TEXTSPLIT(I68,"."),2)&amp;"."&amp;INDEX(_xlfn.TEXTSPLIT(I68,"."),3),"")</f>
        <v>P4.2</v>
      </c>
      <c r="F68" s="42" t="str">
        <f>IFERROR(CONCATENATE(E68,". ",VLOOKUP(E68,'results, prods y acts'!$G$2:$H$16,2,FALSE)),"")</f>
        <v>P4.2. Intervención costo-efectivaaa</v>
      </c>
      <c r="G68" s="20" t="s">
        <v>4</v>
      </c>
      <c r="H68" s="20"/>
      <c r="I68" s="22" t="s">
        <v>128</v>
      </c>
      <c r="J68" s="7" t="s">
        <v>129</v>
      </c>
      <c r="K68" s="7" t="str">
        <f t="shared" si="7"/>
        <v>R2.P4.2.1. Propuesta de Intervención costo-efectiva</v>
      </c>
      <c r="L68" s="34" t="s">
        <v>130</v>
      </c>
      <c r="M68" s="34" t="s">
        <v>55</v>
      </c>
      <c r="N68" s="1" t="s">
        <v>41</v>
      </c>
      <c r="O68" s="42" t="s">
        <v>361</v>
      </c>
      <c r="P68" s="2"/>
      <c r="Q68" s="2"/>
      <c r="R68" s="25"/>
      <c r="S68" s="25"/>
      <c r="T68" s="25"/>
      <c r="U68" s="2">
        <v>1</v>
      </c>
      <c r="V68" s="2"/>
      <c r="W68" s="2"/>
      <c r="X68" s="2"/>
      <c r="Y68" s="2"/>
      <c r="Z68" s="2"/>
      <c r="AA68" s="2"/>
      <c r="AB68" s="11">
        <f t="shared" si="6"/>
        <v>1</v>
      </c>
    </row>
    <row r="69" spans="1:28" ht="21.9" customHeight="1">
      <c r="A69" s="18" t="s">
        <v>98</v>
      </c>
      <c r="B69" s="42" t="str">
        <f>IFERROR(CONCATENATE(A69,". ",VLOOKUP(A69,'results, prods y acts'!$A$2:$B$8,2,FALSE)),"")</f>
        <v>R2. Los procesos de gestión de gasto de capital vinculados a los servicios priorizados a cargo de los GSN son más eficaces y eficientes</v>
      </c>
      <c r="C69" s="21" t="s">
        <v>76</v>
      </c>
      <c r="D69" s="42" t="str">
        <f>IFERROR(CONCATENATE(C69,". ",VLOOKUP(C69,'results, prods y acts'!$D$2:$E$12,2,FALSE)),CONCATENATE(C69,". "))</f>
        <v>P5. Instrumentos de Gestión del Conocimiento (Publicaciones)</v>
      </c>
      <c r="E69" s="42" t="str" cm="1">
        <f t="array" ref="E69">IFERROR(INDEX(_xlfn.TEXTSPLIT(I69,"."),2)&amp;"."&amp;INDEX(_xlfn.TEXTSPLIT(I69,"."),3),"")</f>
        <v>P5.2</v>
      </c>
      <c r="F69" s="42" t="str">
        <f>IFERROR(CONCATENATE(E69,". ",VLOOKUP(E69,'results, prods y acts'!$G$2:$H$16,2,FALSE)),"")</f>
        <v>P5.2. Documentos de buenas prácticas y lecciones aprendidas</v>
      </c>
      <c r="G69" s="20" t="s">
        <v>4</v>
      </c>
      <c r="H69" s="20"/>
      <c r="I69" s="22" t="s">
        <v>131</v>
      </c>
      <c r="J69" s="7" t="s">
        <v>132</v>
      </c>
      <c r="K69" s="7" t="str">
        <f t="shared" si="7"/>
        <v>R2.P5.2.1. Documentos de buenas prácticas</v>
      </c>
      <c r="L69" s="34" t="s">
        <v>133</v>
      </c>
      <c r="M69" s="34" t="s">
        <v>56</v>
      </c>
      <c r="N69" s="33" t="s">
        <v>56</v>
      </c>
      <c r="O69" s="6" t="s">
        <v>364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>
        <v>1</v>
      </c>
      <c r="AB69" s="11">
        <f t="shared" si="6"/>
        <v>1</v>
      </c>
    </row>
    <row r="70" spans="1:28" ht="21.9" customHeight="1">
      <c r="A70" s="18" t="s">
        <v>98</v>
      </c>
      <c r="B70" s="42" t="str">
        <f>IFERROR(CONCATENATE(A70,". ",VLOOKUP(A70,'results, prods y acts'!$A$2:$B$8,2,FALSE)),"")</f>
        <v>R2. Los procesos de gestión de gasto de capital vinculados a los servicios priorizados a cargo de los GSN son más eficaces y eficientes</v>
      </c>
      <c r="C70" s="21" t="s">
        <v>76</v>
      </c>
      <c r="D70" s="42" t="str">
        <f>IFERROR(CONCATENATE(C70,". ",VLOOKUP(C70,'results, prods y acts'!$D$2:$E$12,2,FALSE)),CONCATENATE(C70,". "))</f>
        <v>P5. Instrumentos de Gestión del Conocimiento (Publicaciones)</v>
      </c>
      <c r="E70" s="42" t="str" cm="1">
        <f t="array" ref="E70">IFERROR(INDEX(_xlfn.TEXTSPLIT(I70,"."),2)&amp;"."&amp;INDEX(_xlfn.TEXTSPLIT(I70,"."),3),"")</f>
        <v>P5.3</v>
      </c>
      <c r="F70" s="42" t="str">
        <f>IFERROR(CONCATENATE(E70,". ",VLOOKUP(E70,'results, prods y acts'!$G$2:$H$16,2,FALSE)),"")</f>
        <v>P5.3. Documentos de política</v>
      </c>
      <c r="G70" s="20" t="s">
        <v>4</v>
      </c>
      <c r="H70" s="20"/>
      <c r="I70" s="22" t="s">
        <v>134</v>
      </c>
      <c r="J70" s="15" t="s">
        <v>135</v>
      </c>
      <c r="K70" s="7" t="str">
        <f t="shared" si="7"/>
        <v>R2.P5.3.1. Documento de politica</v>
      </c>
      <c r="L70" s="34" t="s">
        <v>133</v>
      </c>
      <c r="M70" s="34" t="s">
        <v>56</v>
      </c>
      <c r="N70" s="33" t="s">
        <v>350</v>
      </c>
      <c r="O70" s="44" t="s">
        <v>361</v>
      </c>
      <c r="P70" s="2"/>
      <c r="Q70" s="2"/>
      <c r="R70" s="2">
        <v>1</v>
      </c>
      <c r="S70" s="2"/>
      <c r="T70" s="2">
        <v>1</v>
      </c>
      <c r="U70" s="2"/>
      <c r="V70" s="2"/>
      <c r="W70" s="2"/>
      <c r="X70" s="2"/>
      <c r="Y70" s="2"/>
      <c r="Z70" s="2"/>
      <c r="AA70" s="2"/>
      <c r="AB70" s="11">
        <f t="shared" si="6"/>
        <v>2</v>
      </c>
    </row>
    <row r="71" spans="1:28" ht="22.8">
      <c r="A71" s="18" t="s">
        <v>98</v>
      </c>
      <c r="B71" s="42" t="str">
        <f>IFERROR(CONCATENATE(A71,". ",VLOOKUP(A71,'results, prods y acts'!$A$2:$B$8,2,FALSE)),"")</f>
        <v>R2. Los procesos de gestión de gasto de capital vinculados a los servicios priorizados a cargo de los GSN son más eficaces y eficientes</v>
      </c>
      <c r="C71" s="42"/>
      <c r="D71" s="42" t="str">
        <f>IFERROR(CONCATENATE(C71,". ",VLOOKUP(C71,'results, prods y acts'!$D$2:$E$12,2,FALSE)),CONCATENATE(C71,". "))</f>
        <v xml:space="preserve">. </v>
      </c>
      <c r="E71" s="42"/>
      <c r="F71" s="42" t="str">
        <f>IFERROR(CONCATENATE(E71,". ",VLOOKUP(E71,'results, prods y acts'!$G$2:$H$16,2,FALSE)),"")</f>
        <v/>
      </c>
      <c r="G71" s="20" t="s">
        <v>136</v>
      </c>
      <c r="H71" s="21" t="s">
        <v>58</v>
      </c>
      <c r="I71" s="22" t="s">
        <v>487</v>
      </c>
      <c r="J71" s="27" t="s">
        <v>137</v>
      </c>
      <c r="K71" s="7" t="str">
        <f t="shared" si="7"/>
        <v>R2.P6.1.1. Reuniones de coordinación y compartir información relevante que permita optimizar la ejecución de las inversiones de los GSN.</v>
      </c>
      <c r="L71" s="34" t="s">
        <v>33</v>
      </c>
      <c r="M71" s="33" t="s">
        <v>31</v>
      </c>
      <c r="N71" s="1" t="s">
        <v>274</v>
      </c>
      <c r="O71" s="6" t="s">
        <v>362</v>
      </c>
      <c r="P71" s="25"/>
      <c r="Q71" s="25"/>
      <c r="R71" s="24">
        <v>3</v>
      </c>
      <c r="S71" s="25"/>
      <c r="T71" s="25"/>
      <c r="U71" s="26">
        <v>3</v>
      </c>
      <c r="V71" s="2"/>
      <c r="W71" s="2"/>
      <c r="X71" s="26">
        <v>3</v>
      </c>
      <c r="Y71" s="2"/>
      <c r="Z71" s="2"/>
      <c r="AA71" s="26">
        <v>4</v>
      </c>
      <c r="AB71" s="11">
        <f t="shared" si="6"/>
        <v>13</v>
      </c>
    </row>
    <row r="72" spans="1:28" ht="34.200000000000003">
      <c r="A72" s="18" t="s">
        <v>98</v>
      </c>
      <c r="B72" s="42" t="str">
        <f>IFERROR(CONCATENATE(A72,". ",VLOOKUP(A72,'results, prods y acts'!$A$2:$B$8,2,FALSE)),"")</f>
        <v>R2. Los procesos de gestión de gasto de capital vinculados a los servicios priorizados a cargo de los GSN son más eficaces y eficientes</v>
      </c>
      <c r="C72" s="42"/>
      <c r="D72" s="42" t="str">
        <f>IFERROR(CONCATENATE(C72,". ",VLOOKUP(C72,'results, prods y acts'!$D$2:$E$12,2,FALSE)),CONCATENATE(C72,". "))</f>
        <v xml:space="preserve">. </v>
      </c>
      <c r="E72" s="42"/>
      <c r="F72" s="42" t="str">
        <f>IFERROR(CONCATENATE(E72,". ",VLOOKUP(E72,'results, prods y acts'!$G$2:$H$16,2,FALSE)),"")</f>
        <v/>
      </c>
      <c r="G72" s="20" t="s">
        <v>136</v>
      </c>
      <c r="H72" s="21" t="s">
        <v>58</v>
      </c>
      <c r="I72" s="22" t="s">
        <v>488</v>
      </c>
      <c r="J72" s="15" t="s">
        <v>138</v>
      </c>
      <c r="K72" s="7" t="str">
        <f t="shared" si="7"/>
        <v>R2.P6.1.2. Reuniones de coordinación  respecto a modificaciones normativas y disposiciones en relación a la ejecución de inversiones de servicios priorizados y la reactivación de obras públicas.</v>
      </c>
      <c r="L72" s="34" t="s">
        <v>33</v>
      </c>
      <c r="M72" s="33" t="s">
        <v>31</v>
      </c>
      <c r="N72" s="1" t="s">
        <v>274</v>
      </c>
      <c r="O72" s="6" t="s">
        <v>363</v>
      </c>
      <c r="P72" s="25"/>
      <c r="Q72" s="25"/>
      <c r="R72" s="25"/>
      <c r="S72" s="25"/>
      <c r="T72" s="25"/>
      <c r="U72" s="26">
        <v>1</v>
      </c>
      <c r="V72" s="2"/>
      <c r="W72" s="2"/>
      <c r="X72" s="2"/>
      <c r="Y72" s="2"/>
      <c r="Z72" s="2"/>
      <c r="AA72" s="26">
        <v>1</v>
      </c>
      <c r="AB72" s="11">
        <f t="shared" si="6"/>
        <v>2</v>
      </c>
    </row>
    <row r="73" spans="1:28" ht="22.8">
      <c r="A73" s="18" t="s">
        <v>139</v>
      </c>
      <c r="B73" s="42" t="str">
        <f>IFERROR(CONCATENATE(A73,". ",VLOOKUP(A73,'results, prods y acts'!$A$2:$B$8,2,FALSE)),"")</f>
        <v>R3. Los procesos priorizados de recaudación del impuesto predial en los Gobiernos Locales son más eficaces y eficientes</v>
      </c>
      <c r="C73" s="21" t="s">
        <v>5</v>
      </c>
      <c r="D73" s="42" t="str">
        <f>IFERROR(CONCATENATE(C73,". ",VLOOKUP(C73,'results, prods y acts'!$D$2:$E$12,2,FALSE)),CONCATENATE(C73,". "))</f>
        <v>P1. Asistencia técnica</v>
      </c>
      <c r="E73" s="42" t="str" cm="1">
        <f t="array" ref="E73">IFERROR(INDEX(_xlfn.TEXTSPLIT(I73,"."),2)&amp;"."&amp;INDEX(_xlfn.TEXTSPLIT(I73,"."),3),"")</f>
        <v>P1.2</v>
      </c>
      <c r="F73" s="42" t="str">
        <f>IFERROR(CONCATENATE(E73,". ",VLOOKUP(E73,'results, prods y acts'!$G$2:$H$16,2,FALSE)),"")</f>
        <v>P1.2. Acompañamiento</v>
      </c>
      <c r="G73" s="20" t="s">
        <v>4</v>
      </c>
      <c r="H73" s="20"/>
      <c r="I73" s="28" t="s">
        <v>140</v>
      </c>
      <c r="J73" s="14" t="s">
        <v>141</v>
      </c>
      <c r="K73" s="7" t="str">
        <f t="shared" si="7"/>
        <v>R3.P1.2.1. Acompañamiento  para la revisión y evaluación de procesos internos de registro, fiscalización y cobranza tributaria municipal</v>
      </c>
      <c r="L73" s="33" t="s">
        <v>8</v>
      </c>
      <c r="M73" s="33" t="s">
        <v>9</v>
      </c>
      <c r="N73" s="33" t="s">
        <v>10</v>
      </c>
      <c r="O73" s="7" t="s">
        <v>142</v>
      </c>
      <c r="P73" s="2"/>
      <c r="Q73" s="2"/>
      <c r="R73" s="29">
        <v>5</v>
      </c>
      <c r="S73" s="2"/>
      <c r="T73" s="2"/>
      <c r="U73" s="29">
        <v>6</v>
      </c>
      <c r="V73" s="2"/>
      <c r="W73" s="2"/>
      <c r="X73" s="29">
        <v>5</v>
      </c>
      <c r="Y73" s="2"/>
      <c r="Z73" s="2"/>
      <c r="AA73" s="29">
        <v>5</v>
      </c>
      <c r="AB73" s="30">
        <f t="shared" ref="AB73:AB78" si="8">SUM(P73:AA73)</f>
        <v>21</v>
      </c>
    </row>
    <row r="74" spans="1:28" ht="22.8">
      <c r="A74" s="18" t="s">
        <v>139</v>
      </c>
      <c r="B74" s="42" t="str">
        <f>IFERROR(CONCATENATE(A74,". ",VLOOKUP(A74,'results, prods y acts'!$A$2:$B$8,2,FALSE)),"")</f>
        <v>R3. Los procesos priorizados de recaudación del impuesto predial en los Gobiernos Locales son más eficaces y eficientes</v>
      </c>
      <c r="C74" s="21" t="s">
        <v>5</v>
      </c>
      <c r="D74" s="42" t="str">
        <f>IFERROR(CONCATENATE(C74,". ",VLOOKUP(C74,'results, prods y acts'!$D$2:$E$12,2,FALSE)),CONCATENATE(C74,". "))</f>
        <v>P1. Asistencia técnica</v>
      </c>
      <c r="E74" s="42" t="str" cm="1">
        <f t="array" ref="E74">IFERROR(INDEX(_xlfn.TEXTSPLIT(I74,"."),2)&amp;"."&amp;INDEX(_xlfn.TEXTSPLIT(I74,"."),3),"")</f>
        <v>P1.2</v>
      </c>
      <c r="F74" s="42" t="str">
        <f>IFERROR(CONCATENATE(E74,". ",VLOOKUP(E74,'results, prods y acts'!$G$2:$H$16,2,FALSE)),"")</f>
        <v>P1.2. Acompañamiento</v>
      </c>
      <c r="G74" s="20" t="s">
        <v>4</v>
      </c>
      <c r="H74" s="20"/>
      <c r="I74" s="28" t="s">
        <v>143</v>
      </c>
      <c r="J74" s="14" t="s">
        <v>144</v>
      </c>
      <c r="K74" s="7" t="str">
        <f t="shared" si="7"/>
        <v>R3.P1.2.2. Acompañamiento en los procesos y/o actividades que promuevan la ampliación de la base tributaria predial.</v>
      </c>
      <c r="L74" s="33" t="s">
        <v>8</v>
      </c>
      <c r="M74" s="33" t="s">
        <v>145</v>
      </c>
      <c r="N74" s="33" t="s">
        <v>10</v>
      </c>
      <c r="O74" s="7" t="s">
        <v>146</v>
      </c>
      <c r="W74" s="31">
        <v>5</v>
      </c>
      <c r="X74" s="2"/>
      <c r="Y74" s="2"/>
      <c r="Z74" s="2"/>
      <c r="AA74" s="2"/>
      <c r="AB74" s="30">
        <f t="shared" si="8"/>
        <v>5</v>
      </c>
    </row>
    <row r="75" spans="1:28" ht="45.6">
      <c r="A75" s="18" t="s">
        <v>139</v>
      </c>
      <c r="B75" s="42" t="str">
        <f>IFERROR(CONCATENATE(A75,". ",VLOOKUP(A75,'results, prods y acts'!$A$2:$B$8,2,FALSE)),"")</f>
        <v>R3. Los procesos priorizados de recaudación del impuesto predial en los Gobiernos Locales son más eficaces y eficientes</v>
      </c>
      <c r="C75" s="21" t="s">
        <v>5</v>
      </c>
      <c r="D75" s="42" t="str">
        <f>IFERROR(CONCATENATE(C75,". ",VLOOKUP(C75,'results, prods y acts'!$D$2:$E$12,2,FALSE)),CONCATENATE(C75,". "))</f>
        <v>P1. Asistencia técnica</v>
      </c>
      <c r="E75" s="42" t="str" cm="1">
        <f t="array" ref="E75">IFERROR(INDEX(_xlfn.TEXTSPLIT(I75,"."),2)&amp;"."&amp;INDEX(_xlfn.TEXTSPLIT(I75,"."),3),"")</f>
        <v>P1.2</v>
      </c>
      <c r="F75" s="42" t="str">
        <f>IFERROR(CONCATENATE(E75,". ",VLOOKUP(E75,'results, prods y acts'!$G$2:$H$16,2,FALSE)),"")</f>
        <v>P1.2. Acompañamiento</v>
      </c>
      <c r="G75" s="20" t="s">
        <v>4</v>
      </c>
      <c r="H75" s="20"/>
      <c r="I75" s="28" t="s">
        <v>147</v>
      </c>
      <c r="J75" s="14" t="s">
        <v>148</v>
      </c>
      <c r="K75" s="7" t="str">
        <f t="shared" si="7"/>
        <v>R3.P1.2.3. Acompañamiento en programas y actividades promovidas por el MEF, dirigidas a mejorar la recaudación tributaria, implementación y capacitación de uso del nuevo Sistema de Recaudación Tributaria Municipal (SRTM) y el Programa de Apoyo  Presupuestario.</v>
      </c>
      <c r="L75" s="33" t="s">
        <v>8</v>
      </c>
      <c r="M75" s="33" t="s">
        <v>9</v>
      </c>
      <c r="N75" s="33" t="s">
        <v>10</v>
      </c>
      <c r="O75" s="7" t="s">
        <v>149</v>
      </c>
      <c r="T75" s="31">
        <v>3</v>
      </c>
      <c r="X75" s="2"/>
      <c r="Y75" s="29">
        <v>1</v>
      </c>
      <c r="Z75" s="2"/>
      <c r="AA75" s="2"/>
      <c r="AB75" s="30">
        <f t="shared" si="8"/>
        <v>4</v>
      </c>
    </row>
    <row r="76" spans="1:28" ht="34.200000000000003">
      <c r="A76" s="18" t="s">
        <v>139</v>
      </c>
      <c r="B76" s="42" t="str">
        <f>IFERROR(CONCATENATE(A76,". ",VLOOKUP(A76,'results, prods y acts'!$A$2:$B$8,2,FALSE)),"")</f>
        <v>R3. Los procesos priorizados de recaudación del impuesto predial en los Gobiernos Locales son más eficaces y eficientes</v>
      </c>
      <c r="C76" s="21" t="s">
        <v>5</v>
      </c>
      <c r="D76" s="42" t="str">
        <f>IFERROR(CONCATENATE(C76,". ",VLOOKUP(C76,'results, prods y acts'!$D$2:$E$12,2,FALSE)),CONCATENATE(C76,". "))</f>
        <v>P1. Asistencia técnica</v>
      </c>
      <c r="E76" s="42" t="str" cm="1">
        <f t="array" ref="E76">IFERROR(INDEX(_xlfn.TEXTSPLIT(I76,"."),2)&amp;"."&amp;INDEX(_xlfn.TEXTSPLIT(I76,"."),3),"")</f>
        <v>P1.2</v>
      </c>
      <c r="F76" s="42" t="str">
        <f>IFERROR(CONCATENATE(E76,". ",VLOOKUP(E76,'results, prods y acts'!$G$2:$H$16,2,FALSE)),"")</f>
        <v>P1.2. Acompañamiento</v>
      </c>
      <c r="G76" s="20" t="s">
        <v>4</v>
      </c>
      <c r="H76" s="20"/>
      <c r="I76" s="28" t="s">
        <v>150</v>
      </c>
      <c r="J76" s="14" t="s">
        <v>151</v>
      </c>
      <c r="K76" s="7" t="str">
        <f t="shared" si="7"/>
        <v>R3.P1.2.5. Acompañamiento en la evaluación y propuestas de mejora de los sistemas informáticos de la administración tributaria, así como su vinculación con el catastro.</v>
      </c>
      <c r="L76" s="33" t="s">
        <v>8</v>
      </c>
      <c r="M76" s="33" t="s">
        <v>9</v>
      </c>
      <c r="N76" s="33" t="s">
        <v>10</v>
      </c>
      <c r="O76" s="7" t="s">
        <v>152</v>
      </c>
      <c r="U76" s="2"/>
      <c r="V76" s="29">
        <v>5</v>
      </c>
      <c r="AB76" s="30">
        <f t="shared" si="8"/>
        <v>5</v>
      </c>
    </row>
    <row r="77" spans="1:28" ht="22.8">
      <c r="A77" s="18" t="s">
        <v>139</v>
      </c>
      <c r="B77" s="42" t="str">
        <f>IFERROR(CONCATENATE(A77,". ",VLOOKUP(A77,'results, prods y acts'!$A$2:$B$8,2,FALSE)),"")</f>
        <v>R3. Los procesos priorizados de recaudación del impuesto predial en los Gobiernos Locales son más eficaces y eficientes</v>
      </c>
      <c r="C77" s="21" t="s">
        <v>5</v>
      </c>
      <c r="D77" s="42" t="str">
        <f>IFERROR(CONCATENATE(C77,". ",VLOOKUP(C77,'results, prods y acts'!$D$2:$E$12,2,FALSE)),CONCATENATE(C77,". "))</f>
        <v>P1. Asistencia técnica</v>
      </c>
      <c r="E77" s="42" t="str" cm="1">
        <f t="array" ref="E77">IFERROR(INDEX(_xlfn.TEXTSPLIT(I77,"."),2)&amp;"."&amp;INDEX(_xlfn.TEXTSPLIT(I77,"."),3),"")</f>
        <v>P1.2</v>
      </c>
      <c r="F77" s="42" t="str">
        <f>IFERROR(CONCATENATE(E77,". ",VLOOKUP(E77,'results, prods y acts'!$G$2:$H$16,2,FALSE)),"")</f>
        <v>P1.2. Acompañamiento</v>
      </c>
      <c r="G77" s="20" t="s">
        <v>4</v>
      </c>
      <c r="H77" s="20"/>
      <c r="I77" s="28" t="s">
        <v>153</v>
      </c>
      <c r="J77" s="14" t="s">
        <v>154</v>
      </c>
      <c r="K77" s="7" t="str">
        <f t="shared" si="7"/>
        <v>R3.P1.2.6. Acompañamiento orientado a la implementación de un proceso oportuno de emisión predial anual</v>
      </c>
      <c r="L77" s="33" t="s">
        <v>8</v>
      </c>
      <c r="M77" s="33" t="s">
        <v>9</v>
      </c>
      <c r="N77" s="33" t="s">
        <v>10</v>
      </c>
      <c r="O77" s="7" t="s">
        <v>155</v>
      </c>
      <c r="AA77" s="31">
        <v>6</v>
      </c>
      <c r="AB77" s="30">
        <f t="shared" si="8"/>
        <v>6</v>
      </c>
    </row>
    <row r="78" spans="1:28" ht="22.8">
      <c r="A78" s="18" t="s">
        <v>139</v>
      </c>
      <c r="B78" s="42" t="str">
        <f>IFERROR(CONCATENATE(A78,". ",VLOOKUP(A78,'results, prods y acts'!$A$2:$B$8,2,FALSE)),"")</f>
        <v>R3. Los procesos priorizados de recaudación del impuesto predial en los Gobiernos Locales son más eficaces y eficientes</v>
      </c>
      <c r="C78" s="21" t="s">
        <v>5</v>
      </c>
      <c r="D78" s="42" t="str">
        <f>IFERROR(CONCATENATE(C78,". ",VLOOKUP(C78,'results, prods y acts'!$D$2:$E$12,2,FALSE)),CONCATENATE(C78,". "))</f>
        <v>P1. Asistencia técnica</v>
      </c>
      <c r="E78" s="42" t="str" cm="1">
        <f t="array" ref="E78">IFERROR(INDEX(_xlfn.TEXTSPLIT(I78,"."),2)&amp;"."&amp;INDEX(_xlfn.TEXTSPLIT(I78,"."),3),"")</f>
        <v>P1.2</v>
      </c>
      <c r="F78" s="42" t="str">
        <f>IFERROR(CONCATENATE(E78,". ",VLOOKUP(E78,'results, prods y acts'!$G$2:$H$16,2,FALSE)),"")</f>
        <v>P1.2. Acompañamiento</v>
      </c>
      <c r="G78" s="20" t="s">
        <v>4</v>
      </c>
      <c r="H78" s="20"/>
      <c r="I78" s="28" t="s">
        <v>156</v>
      </c>
      <c r="J78" s="14" t="s">
        <v>157</v>
      </c>
      <c r="K78" s="7" t="str">
        <f t="shared" si="7"/>
        <v>R3.P1.2.7. Acompañamiento en el proceso de cumplimiento del Programa de Incentivos de Mejora de la Gestión Municipal.</v>
      </c>
      <c r="L78" s="33" t="s">
        <v>8</v>
      </c>
      <c r="M78" s="33" t="s">
        <v>9</v>
      </c>
      <c r="N78" s="33" t="s">
        <v>10</v>
      </c>
      <c r="O78" s="7" t="s">
        <v>158</v>
      </c>
      <c r="P78" s="2"/>
      <c r="Q78" s="2"/>
      <c r="R78" s="29">
        <v>6</v>
      </c>
      <c r="S78" s="2"/>
      <c r="T78" s="2"/>
      <c r="V78" s="31">
        <v>5</v>
      </c>
      <c r="AA78" s="31">
        <v>5</v>
      </c>
      <c r="AB78" s="30">
        <f t="shared" si="8"/>
        <v>16</v>
      </c>
    </row>
    <row r="79" spans="1:28" ht="34.200000000000003">
      <c r="A79" s="18" t="s">
        <v>139</v>
      </c>
      <c r="B79" s="42" t="str">
        <f>IFERROR(CONCATENATE(A79,". ",VLOOKUP(A79,'results, prods y acts'!$A$2:$B$8,2,FALSE)),"")</f>
        <v>R3. Los procesos priorizados de recaudación del impuesto predial en los Gobiernos Locales son más eficaces y eficientes</v>
      </c>
      <c r="C79" s="21" t="s">
        <v>37</v>
      </c>
      <c r="D79" s="42" t="str">
        <f>IFERROR(CONCATENATE(C79,". ",VLOOKUP(C79,'results, prods y acts'!$D$2:$E$12,2,FALSE)),CONCATENATE(C79,". "))</f>
        <v>P2. Fortalecimiento de capacidades</v>
      </c>
      <c r="E79" s="42" t="str" cm="1">
        <f t="array" ref="E79">IFERROR(INDEX(_xlfn.TEXTSPLIT(I79,"."),2)&amp;"."&amp;INDEX(_xlfn.TEXTSPLIT(I79,"."),3),"")</f>
        <v>P2.3</v>
      </c>
      <c r="F79" s="42" t="str">
        <f>IFERROR(CONCATENATE(E79,". ",VLOOKUP(E79,'results, prods y acts'!$G$2:$H$16,2,FALSE)),"")</f>
        <v>P2.3. Capacitación ad hoc</v>
      </c>
      <c r="G79" s="20" t="s">
        <v>4</v>
      </c>
      <c r="H79" s="20"/>
      <c r="I79" s="28" t="s">
        <v>161</v>
      </c>
      <c r="J79" s="14" t="s">
        <v>162</v>
      </c>
      <c r="K79" s="7" t="str">
        <f t="shared" si="7"/>
        <v>R3.P2.3.1. Capacitaciones ad hoc al personal de la administración tributaria de los municipios, sobre diversos aspectos de la tributación municipal.</v>
      </c>
      <c r="L79" s="33" t="s">
        <v>163</v>
      </c>
      <c r="M79" s="33" t="s">
        <v>40</v>
      </c>
      <c r="N79" s="33" t="s">
        <v>46</v>
      </c>
      <c r="O79" s="7" t="s">
        <v>164</v>
      </c>
      <c r="R79" s="2">
        <v>1</v>
      </c>
      <c r="S79" s="29">
        <v>1</v>
      </c>
      <c r="T79" s="2"/>
      <c r="U79" s="29">
        <v>1</v>
      </c>
      <c r="V79" s="29">
        <v>1</v>
      </c>
      <c r="W79" s="2"/>
      <c r="X79" s="29">
        <v>2</v>
      </c>
      <c r="Y79" s="2"/>
      <c r="AB79" s="30">
        <f t="shared" ref="AB79:AB112" si="9">SUM(P79:AA79)</f>
        <v>6</v>
      </c>
    </row>
    <row r="80" spans="1:28" ht="34.200000000000003">
      <c r="A80" s="18" t="s">
        <v>139</v>
      </c>
      <c r="B80" s="42" t="str">
        <f>IFERROR(CONCATENATE(A80,". ",VLOOKUP(A80,'results, prods y acts'!$A$2:$B$8,2,FALSE)),"")</f>
        <v>R3. Los procesos priorizados de recaudación del impuesto predial en los Gobiernos Locales son más eficaces y eficientes</v>
      </c>
      <c r="C80" s="21" t="s">
        <v>37</v>
      </c>
      <c r="D80" s="42" t="str">
        <f>IFERROR(CONCATENATE(C80,". ",VLOOKUP(C80,'results, prods y acts'!$D$2:$E$12,2,FALSE)),CONCATENATE(C80,". "))</f>
        <v>P2. Fortalecimiento de capacidades</v>
      </c>
      <c r="E80" s="42" t="str" cm="1">
        <f t="array" ref="E80">IFERROR(INDEX(_xlfn.TEXTSPLIT(I80,"."),2)&amp;"."&amp;INDEX(_xlfn.TEXTSPLIT(I80,"."),3),"")</f>
        <v>P2.3</v>
      </c>
      <c r="F80" s="42" t="str">
        <f>IFERROR(CONCATENATE(E80,". ",VLOOKUP(E80,'results, prods y acts'!$G$2:$H$16,2,FALSE)),"")</f>
        <v>P2.3. Capacitación ad hoc</v>
      </c>
      <c r="G80" s="20" t="s">
        <v>4</v>
      </c>
      <c r="H80" s="20"/>
      <c r="I80" s="28" t="s">
        <v>165</v>
      </c>
      <c r="J80" s="14" t="s">
        <v>166</v>
      </c>
      <c r="K80" s="7" t="str">
        <f t="shared" si="7"/>
        <v>R3.P2.3.2. Cursos y/o Diplomado al personal de la administración tributaria de las municipalidades, sobre diversos aspectos de la tributación municipal.</v>
      </c>
      <c r="L80" s="33" t="s">
        <v>167</v>
      </c>
      <c r="M80" s="33" t="s">
        <v>168</v>
      </c>
      <c r="N80" s="33" t="s">
        <v>46</v>
      </c>
      <c r="O80" s="7" t="s">
        <v>164</v>
      </c>
      <c r="R80" s="2"/>
      <c r="S80" s="2"/>
      <c r="T80" s="2"/>
      <c r="U80" s="2"/>
      <c r="V80" s="29">
        <v>1</v>
      </c>
      <c r="X80" s="2"/>
      <c r="Y80" s="2"/>
      <c r="AB80" s="30">
        <f t="shared" si="9"/>
        <v>1</v>
      </c>
    </row>
    <row r="81" spans="1:28" ht="22.8">
      <c r="A81" s="18" t="s">
        <v>139</v>
      </c>
      <c r="B81" s="42" t="str">
        <f>IFERROR(CONCATENATE(A81,". ",VLOOKUP(A81,'results, prods y acts'!$A$2:$B$8,2,FALSE)),"")</f>
        <v>R3. Los procesos priorizados de recaudación del impuesto predial en los Gobiernos Locales son más eficaces y eficientes</v>
      </c>
      <c r="C81" s="21" t="s">
        <v>37</v>
      </c>
      <c r="D81" s="42" t="str">
        <f>IFERROR(CONCATENATE(C81,". ",VLOOKUP(C81,'results, prods y acts'!$D$2:$E$12,2,FALSE)),CONCATENATE(C81,". "))</f>
        <v>P2. Fortalecimiento de capacidades</v>
      </c>
      <c r="E81" s="42" t="str" cm="1">
        <f t="array" ref="E81">IFERROR(INDEX(_xlfn.TEXTSPLIT(I81,"."),2)&amp;"."&amp;INDEX(_xlfn.TEXTSPLIT(I81,"."),3),"")</f>
        <v>P2.5</v>
      </c>
      <c r="F81" s="42" t="str">
        <f>IFERROR(CONCATENATE(E81,". ",VLOOKUP(E81,'results, prods y acts'!$G$2:$H$16,2,FALSE)),"")</f>
        <v>P2.5. Charla</v>
      </c>
      <c r="G81" s="20" t="s">
        <v>4</v>
      </c>
      <c r="H81" s="20"/>
      <c r="I81" s="28" t="s">
        <v>368</v>
      </c>
      <c r="J81" s="14" t="s">
        <v>159</v>
      </c>
      <c r="K81" s="7" t="str">
        <f t="shared" si="7"/>
        <v>R3.P2.5.1. Charla al personal de la administración tributaria de Municipalidades, sobre diversos aspectos de la tributación municipal.</v>
      </c>
      <c r="L81" s="33" t="s">
        <v>123</v>
      </c>
      <c r="M81" s="33" t="s">
        <v>145</v>
      </c>
      <c r="N81" s="33" t="s">
        <v>46</v>
      </c>
      <c r="O81" s="7" t="s">
        <v>160</v>
      </c>
      <c r="P81" s="2"/>
      <c r="Q81" s="29">
        <v>5</v>
      </c>
      <c r="R81" s="2"/>
      <c r="S81" s="2"/>
      <c r="T81" s="29">
        <v>6</v>
      </c>
      <c r="U81" s="2"/>
      <c r="V81" s="2"/>
      <c r="W81" s="29">
        <v>5</v>
      </c>
      <c r="X81" s="2"/>
      <c r="Y81" s="2"/>
      <c r="Z81" s="29">
        <v>6</v>
      </c>
      <c r="AB81" s="30">
        <f t="shared" si="9"/>
        <v>22</v>
      </c>
    </row>
    <row r="82" spans="1:28" ht="22.8">
      <c r="A82" s="18" t="s">
        <v>139</v>
      </c>
      <c r="B82" s="42" t="str">
        <f>IFERROR(CONCATENATE(A82,". ",VLOOKUP(A82,'results, prods y acts'!$A$2:$B$8,2,FALSE)),"")</f>
        <v>R3. Los procesos priorizados de recaudación del impuesto predial en los Gobiernos Locales son más eficaces y eficientes</v>
      </c>
      <c r="C82" s="21" t="s">
        <v>53</v>
      </c>
      <c r="D82" s="42" t="str">
        <f>IFERROR(CONCATENATE(C82,". ",VLOOKUP(C82,'results, prods y acts'!$D$2:$E$12,2,FALSE)),CONCATENATE(C82,". "))</f>
        <v>P3. Instrumentos de mejora de la gestión</v>
      </c>
      <c r="E82" s="42" t="str" cm="1">
        <f t="array" ref="E82">IFERROR(INDEX(_xlfn.TEXTSPLIT(I82,"."),2)&amp;"."&amp;INDEX(_xlfn.TEXTSPLIT(I82,"."),3),"")</f>
        <v>P3.3</v>
      </c>
      <c r="F82" s="42" t="str">
        <f>IFERROR(CONCATENATE(E82,". ",VLOOKUP(E82,'results, prods y acts'!$G$2:$H$16,2,FALSE)),"")</f>
        <v/>
      </c>
      <c r="G82" s="20" t="s">
        <v>4</v>
      </c>
      <c r="H82" s="20"/>
      <c r="I82" s="28" t="s">
        <v>170</v>
      </c>
      <c r="J82" s="14" t="s">
        <v>171</v>
      </c>
      <c r="K82" s="7" t="str">
        <f t="shared" si="7"/>
        <v>R3.P3.3.1. Propuesta de reforma técnico-administrativa que promuevan actualizaciones y mejoras de la normatividad Tributaria Municipal</v>
      </c>
      <c r="L82" s="33" t="s">
        <v>172</v>
      </c>
      <c r="M82" s="33" t="s">
        <v>55</v>
      </c>
      <c r="N82" s="33" t="s">
        <v>41</v>
      </c>
      <c r="O82" s="7" t="s">
        <v>173</v>
      </c>
      <c r="W82" s="2"/>
      <c r="X82" s="2"/>
      <c r="Y82" s="29">
        <v>2</v>
      </c>
      <c r="AB82" s="30">
        <f t="shared" si="9"/>
        <v>2</v>
      </c>
    </row>
    <row r="83" spans="1:28" ht="39" customHeight="1">
      <c r="A83" s="18" t="s">
        <v>139</v>
      </c>
      <c r="B83" s="42" t="str">
        <f>IFERROR(CONCATENATE(A83,". ",VLOOKUP(A83,'results, prods y acts'!$A$2:$B$8,2,FALSE)),"")</f>
        <v>R3. Los procesos priorizados de recaudación del impuesto predial en los Gobiernos Locales son más eficaces y eficientes</v>
      </c>
      <c r="C83" s="21" t="s">
        <v>64</v>
      </c>
      <c r="D83" s="42" t="str">
        <f>IFERROR(CONCATENATE(C83,". ",VLOOKUP(C83,'results, prods y acts'!$D$2:$E$12,2,FALSE)),CONCATENATE(C83,". "))</f>
        <v>P4. Tecnologia de la Informacion / Instrumentos de innovación</v>
      </c>
      <c r="E83" s="42" t="str" cm="1">
        <f t="array" ref="E83">IFERROR(INDEX(_xlfn.TEXTSPLIT(I83,"."),2)&amp;"."&amp;INDEX(_xlfn.TEXTSPLIT(I83,"."),3),"")</f>
        <v>P4.2</v>
      </c>
      <c r="F83" s="42" t="str">
        <f>IFERROR(CONCATENATE(E83,". ",VLOOKUP(E83,'results, prods y acts'!$G$2:$H$16,2,FALSE)),"")</f>
        <v>P4.2. Intervención costo-efectivaaa</v>
      </c>
      <c r="G83" s="20" t="s">
        <v>4</v>
      </c>
      <c r="H83" s="20"/>
      <c r="I83" s="28" t="s">
        <v>174</v>
      </c>
      <c r="J83" s="14" t="s">
        <v>175</v>
      </c>
      <c r="K83" s="7" t="str">
        <f t="shared" si="7"/>
        <v>R3.P4.2.1. Propuestas costo-efectiva para la implementación de programas de fiscalización tributaria, que se sustenten en los ingresos obtenidos de la propia fiscalización</v>
      </c>
      <c r="L83" s="33" t="s">
        <v>176</v>
      </c>
      <c r="M83" s="33" t="s">
        <v>55</v>
      </c>
      <c r="N83" s="33" t="s">
        <v>56</v>
      </c>
      <c r="O83" s="7" t="s">
        <v>177</v>
      </c>
      <c r="T83" s="2"/>
      <c r="U83" s="2"/>
      <c r="V83" s="29">
        <v>1</v>
      </c>
      <c r="AB83" s="30">
        <f t="shared" si="9"/>
        <v>1</v>
      </c>
    </row>
    <row r="84" spans="1:28" ht="33" customHeight="1">
      <c r="A84" s="18" t="s">
        <v>139</v>
      </c>
      <c r="B84" s="42" t="str">
        <f>IFERROR(CONCATENATE(A84,". ",VLOOKUP(A84,'results, prods y acts'!$A$2:$B$8,2,FALSE)),"")</f>
        <v>R3. Los procesos priorizados de recaudación del impuesto predial en los Gobiernos Locales son más eficaces y eficientes</v>
      </c>
      <c r="C84" s="21" t="s">
        <v>64</v>
      </c>
      <c r="D84" s="42" t="str">
        <f>IFERROR(CONCATENATE(C84,". ",VLOOKUP(C84,'results, prods y acts'!$D$2:$E$12,2,FALSE)),CONCATENATE(C84,". "))</f>
        <v>P4. Tecnologia de la Informacion / Instrumentos de innovación</v>
      </c>
      <c r="E84" s="42" t="str" cm="1">
        <f t="array" ref="E84">IFERROR(INDEX(_xlfn.TEXTSPLIT(I84,"."),2)&amp;"."&amp;INDEX(_xlfn.TEXTSPLIT(I84,"."),3),"")</f>
        <v>P4.2</v>
      </c>
      <c r="F84" s="42" t="str">
        <f>IFERROR(CONCATENATE(E84,". ",VLOOKUP(E84,'results, prods y acts'!$G$2:$H$16,2,FALSE)),"")</f>
        <v>P4.2. Intervención costo-efectivaaa</v>
      </c>
      <c r="G84" s="20" t="s">
        <v>4</v>
      </c>
      <c r="H84" s="20"/>
      <c r="I84" s="28" t="s">
        <v>178</v>
      </c>
      <c r="J84" s="14" t="s">
        <v>179</v>
      </c>
      <c r="K84" s="7" t="str">
        <f t="shared" si="7"/>
        <v>R3.P4.2.2. Propuestas costo-efectiva para la implementación de estrategias dirigidas al incremento de la recaudación predial</v>
      </c>
      <c r="L84" s="33" t="s">
        <v>176</v>
      </c>
      <c r="M84" s="33" t="s">
        <v>55</v>
      </c>
      <c r="N84" s="33" t="s">
        <v>56</v>
      </c>
      <c r="O84" s="7" t="s">
        <v>180</v>
      </c>
      <c r="T84" s="2"/>
      <c r="U84" s="2"/>
      <c r="V84" s="2"/>
      <c r="W84" s="2"/>
      <c r="X84" s="29">
        <v>2</v>
      </c>
      <c r="AB84" s="30">
        <f t="shared" si="9"/>
        <v>2</v>
      </c>
    </row>
    <row r="85" spans="1:28" ht="21.9" customHeight="1">
      <c r="A85" s="18" t="s">
        <v>139</v>
      </c>
      <c r="B85" s="42" t="str">
        <f>IFERROR(CONCATENATE(A85,". ",VLOOKUP(A85,'results, prods y acts'!$A$2:$B$8,2,FALSE)),"")</f>
        <v>R3. Los procesos priorizados de recaudación del impuesto predial en los Gobiernos Locales son más eficaces y eficientes</v>
      </c>
      <c r="C85" s="21" t="s">
        <v>76</v>
      </c>
      <c r="D85" s="42" t="str">
        <f>IFERROR(CONCATENATE(C85,". ",VLOOKUP(C85,'results, prods y acts'!$D$2:$E$12,2,FALSE)),CONCATENATE(C85,". "))</f>
        <v>P5. Instrumentos de Gestión del Conocimiento (Publicaciones)</v>
      </c>
      <c r="E85" s="42" t="str" cm="1">
        <f t="array" ref="E85">IFERROR(INDEX(_xlfn.TEXTSPLIT(I85,"."),2)&amp;"."&amp;INDEX(_xlfn.TEXTSPLIT(I85,"."),3),"")</f>
        <v>P5.2</v>
      </c>
      <c r="F85" s="42" t="str">
        <f>IFERROR(CONCATENATE(E85,". ",VLOOKUP(E85,'results, prods y acts'!$G$2:$H$16,2,FALSE)),"")</f>
        <v>P5.2. Documentos de buenas prácticas y lecciones aprendidas</v>
      </c>
      <c r="G85" s="20" t="s">
        <v>4</v>
      </c>
      <c r="H85" s="20"/>
      <c r="I85" s="28" t="s">
        <v>181</v>
      </c>
      <c r="J85" s="6" t="s">
        <v>132</v>
      </c>
      <c r="K85" s="7" t="str">
        <f t="shared" si="7"/>
        <v>R3.P5.2.1. Documentos de buenas prácticas</v>
      </c>
      <c r="L85" s="33" t="s">
        <v>182</v>
      </c>
      <c r="M85" s="33" t="s">
        <v>56</v>
      </c>
      <c r="N85" s="33" t="s">
        <v>56</v>
      </c>
      <c r="O85" s="6" t="s">
        <v>364</v>
      </c>
      <c r="T85" s="2"/>
      <c r="U85" s="2"/>
      <c r="V85" s="2"/>
      <c r="W85" s="2"/>
      <c r="X85" s="2"/>
      <c r="Y85" s="2"/>
      <c r="Z85" s="2"/>
      <c r="AA85" s="31">
        <v>1</v>
      </c>
      <c r="AB85" s="30">
        <f t="shared" si="9"/>
        <v>1</v>
      </c>
    </row>
    <row r="86" spans="1:28" ht="21.9" customHeight="1">
      <c r="A86" s="18" t="s">
        <v>139</v>
      </c>
      <c r="B86" s="42" t="str">
        <f>IFERROR(CONCATENATE(A86,". ",VLOOKUP(A86,'results, prods y acts'!$A$2:$B$8,2,FALSE)),"")</f>
        <v>R3. Los procesos priorizados de recaudación del impuesto predial en los Gobiernos Locales son más eficaces y eficientes</v>
      </c>
      <c r="C86" s="21" t="s">
        <v>76</v>
      </c>
      <c r="D86" s="42" t="str">
        <f>IFERROR(CONCATENATE(C86,". ",VLOOKUP(C86,'results, prods y acts'!$D$2:$E$12,2,FALSE)),CONCATENATE(C86,". "))</f>
        <v>P5. Instrumentos de Gestión del Conocimiento (Publicaciones)</v>
      </c>
      <c r="E86" s="42" t="str" cm="1">
        <f t="array" ref="E86">IFERROR(INDEX(_xlfn.TEXTSPLIT(I86,"."),2)&amp;"."&amp;INDEX(_xlfn.TEXTSPLIT(I86,"."),3),"")</f>
        <v>P5.3</v>
      </c>
      <c r="F86" s="42" t="str">
        <f>IFERROR(CONCATENATE(E86,". ",VLOOKUP(E86,'results, prods y acts'!$G$2:$H$16,2,FALSE)),"")</f>
        <v>P5.3. Documentos de política</v>
      </c>
      <c r="G86" s="20" t="s">
        <v>4</v>
      </c>
      <c r="H86" s="20"/>
      <c r="I86" s="28" t="s">
        <v>184</v>
      </c>
      <c r="J86" s="42" t="s">
        <v>135</v>
      </c>
      <c r="K86" s="7" t="str">
        <f t="shared" si="7"/>
        <v>R3.P5.3.1. Documento de politica</v>
      </c>
      <c r="L86" s="33" t="s">
        <v>182</v>
      </c>
      <c r="M86" s="33" t="s">
        <v>56</v>
      </c>
      <c r="N86" s="33" t="s">
        <v>350</v>
      </c>
      <c r="O86" s="42" t="s">
        <v>361</v>
      </c>
      <c r="S86" s="2"/>
      <c r="T86" s="2"/>
      <c r="U86" s="29">
        <v>1</v>
      </c>
      <c r="V86" s="2"/>
      <c r="W86" s="2"/>
      <c r="X86" s="2"/>
      <c r="Y86" s="2"/>
      <c r="Z86" s="29">
        <v>1</v>
      </c>
      <c r="AA86" s="2"/>
      <c r="AB86" s="30">
        <f t="shared" si="9"/>
        <v>2</v>
      </c>
    </row>
    <row r="87" spans="1:28" ht="57">
      <c r="A87" s="18" t="s">
        <v>139</v>
      </c>
      <c r="B87" s="42" t="str">
        <f>IFERROR(CONCATENATE(A87,". ",VLOOKUP(A87,'results, prods y acts'!$A$2:$B$8,2,FALSE)),"")</f>
        <v>R3. Los procesos priorizados de recaudación del impuesto predial en los Gobiernos Locales son más eficaces y eficientes</v>
      </c>
      <c r="C87" s="42" t="s">
        <v>583</v>
      </c>
      <c r="D87" s="42" t="str">
        <f>IFERROR(CONCATENATE(C87,". ",VLOOKUP(C87,'results, prods y acts'!$D$2:$E$12,2,FALSE)),CONCATENATE(C87,". "))</f>
        <v xml:space="preserve">P6. </v>
      </c>
      <c r="E87" s="42"/>
      <c r="F87" s="42" t="str">
        <f>IFERROR(CONCATENATE(E87,". ",VLOOKUP(E87,'results, prods y acts'!$G$2:$H$16,2,FALSE)),"")</f>
        <v/>
      </c>
      <c r="G87" s="32" t="s">
        <v>57</v>
      </c>
      <c r="H87" s="21" t="s">
        <v>185</v>
      </c>
      <c r="I87" s="28" t="s">
        <v>490</v>
      </c>
      <c r="J87" s="14" t="s">
        <v>186</v>
      </c>
      <c r="K87" s="7" t="str">
        <f t="shared" si="7"/>
        <v>R3.P6.1.1. Reunión de coordinación con la Dirección de Política y Descentralización Fiscal respecto a la asistencia técnica de la implementación y capacitación de uso del nuevo Sistema de Recaudación Tributaria Municipal (SRTM), la vinculación con el catastro y de programas y/o actividades dirigidas a mejorar la recaudación tributaria de los GL.</v>
      </c>
      <c r="L87" s="33" t="s">
        <v>33</v>
      </c>
      <c r="M87" s="33" t="s">
        <v>31</v>
      </c>
      <c r="N87" s="1" t="s">
        <v>41</v>
      </c>
      <c r="O87" s="7" t="s">
        <v>187</v>
      </c>
      <c r="Q87" s="31">
        <v>1</v>
      </c>
      <c r="T87" s="31">
        <v>1</v>
      </c>
      <c r="W87" s="31">
        <v>1</v>
      </c>
      <c r="Z87" s="31">
        <v>1</v>
      </c>
      <c r="AB87" s="30">
        <f t="shared" si="9"/>
        <v>4</v>
      </c>
    </row>
    <row r="88" spans="1:28" ht="57">
      <c r="A88" s="18" t="s">
        <v>139</v>
      </c>
      <c r="B88" s="42" t="str">
        <f>IFERROR(CONCATENATE(A88,". ",VLOOKUP(A88,'results, prods y acts'!$A$2:$B$8,2,FALSE)),"")</f>
        <v>R3. Los procesos priorizados de recaudación del impuesto predial en los Gobiernos Locales son más eficaces y eficientes</v>
      </c>
      <c r="C88" s="42"/>
      <c r="D88" s="42" t="str">
        <f>IFERROR(CONCATENATE(C88,". ",VLOOKUP(C88,'results, prods y acts'!$D$2:$E$12,2,FALSE)),CONCATENATE(C88,". "))</f>
        <v xml:space="preserve">. </v>
      </c>
      <c r="E88" s="42"/>
      <c r="F88" s="42" t="str">
        <f>IFERROR(CONCATENATE(E88,". ",VLOOKUP(E88,'results, prods y acts'!$G$2:$H$16,2,FALSE)),"")</f>
        <v/>
      </c>
      <c r="G88" s="32" t="s">
        <v>57</v>
      </c>
      <c r="H88" s="21" t="s">
        <v>188</v>
      </c>
      <c r="I88" s="28" t="s">
        <v>491</v>
      </c>
      <c r="J88" s="14" t="s">
        <v>189</v>
      </c>
      <c r="K88" s="7" t="str">
        <f t="shared" si="7"/>
        <v xml:space="preserve">R3.P6.1.2. Reunión de coordinación con la Dirección General de Políticas de Ingresos Públicos del Ministerio de Economía y Finanzas vinculado al desarrollo del Programa de Apoyo Presupuestario (PAP) impulsado por SECO, para promover actividades que permitan potenciar los resultados esperados de la intervención </v>
      </c>
      <c r="L88" s="33" t="s">
        <v>33</v>
      </c>
      <c r="M88" s="33" t="s">
        <v>31</v>
      </c>
      <c r="N88" s="1" t="s">
        <v>41</v>
      </c>
      <c r="O88" s="7" t="s">
        <v>187</v>
      </c>
      <c r="R88" s="31">
        <v>1</v>
      </c>
      <c r="AB88" s="30">
        <f t="shared" si="9"/>
        <v>1</v>
      </c>
    </row>
    <row r="89" spans="1:28" ht="34.200000000000003">
      <c r="A89" s="18" t="s">
        <v>190</v>
      </c>
      <c r="B89" s="42" t="str">
        <f>IFERROR(CONCATENATE(A89,". ",VLOOKUP(A89,'results, prods y acts'!$A$2:$B$8,2,FALSE)),"")</f>
        <v>R4. El control interno y la integridad pública del GSN se fortalecen</v>
      </c>
      <c r="C89" s="21" t="s">
        <v>5</v>
      </c>
      <c r="D89" s="42" t="str">
        <f>IFERROR(CONCATENATE(C89,". ",VLOOKUP(C89,'results, prods y acts'!$D$2:$E$12,2,FALSE)),CONCATENATE(C89,". "))</f>
        <v>P1. Asistencia técnica</v>
      </c>
      <c r="E89" s="42" t="str" cm="1">
        <f t="array" ref="E89">IFERROR(INDEX(_xlfn.TEXTSPLIT(I89,"."),2)&amp;"."&amp;INDEX(_xlfn.TEXTSPLIT(I89,"."),3),"")</f>
        <v>P1.1</v>
      </c>
      <c r="F89" s="42" t="str">
        <f>IFERROR(CONCATENATE(E89,". ",VLOOKUP(E89,'results, prods y acts'!$G$2:$H$16,2,FALSE)),"")</f>
        <v>P1.1. Taller</v>
      </c>
      <c r="G89" s="20" t="s">
        <v>4</v>
      </c>
      <c r="H89" s="20"/>
      <c r="I89" s="22" t="s">
        <v>192</v>
      </c>
      <c r="J89" s="6" t="s">
        <v>365</v>
      </c>
      <c r="K89" s="7" t="str">
        <f t="shared" si="7"/>
        <v xml:space="preserve">R4.P1.1.1. Talleres de gestión de riesgos o reflexión ética dirigidos a los equipos técnicos de los GN y GSN que brindan SPP </v>
      </c>
      <c r="L89" s="33" t="s">
        <v>193</v>
      </c>
      <c r="M89" s="1" t="s">
        <v>65</v>
      </c>
      <c r="N89" s="33" t="s">
        <v>41</v>
      </c>
      <c r="O89" s="52" t="s">
        <v>194</v>
      </c>
      <c r="P89" s="2"/>
      <c r="Q89" s="2"/>
      <c r="R89" s="26">
        <v>1</v>
      </c>
      <c r="S89" s="10">
        <v>2</v>
      </c>
      <c r="U89" s="10">
        <v>1</v>
      </c>
      <c r="V89" s="10">
        <v>2</v>
      </c>
      <c r="X89" s="10">
        <v>1</v>
      </c>
      <c r="Y89" s="10">
        <v>2</v>
      </c>
      <c r="Z89" s="10">
        <v>1</v>
      </c>
      <c r="AB89" s="11">
        <f t="shared" si="9"/>
        <v>10</v>
      </c>
    </row>
    <row r="90" spans="1:28" ht="45.6">
      <c r="A90" s="18" t="s">
        <v>190</v>
      </c>
      <c r="B90" s="42" t="str">
        <f>IFERROR(CONCATENATE(A90,". ",VLOOKUP(A90,'results, prods y acts'!$A$2:$B$8,2,FALSE)),"")</f>
        <v>R4. El control interno y la integridad pública del GSN se fortalecen</v>
      </c>
      <c r="C90" s="21" t="s">
        <v>5</v>
      </c>
      <c r="D90" s="42" t="str">
        <f>IFERROR(CONCATENATE(C90,". ",VLOOKUP(C90,'results, prods y acts'!$D$2:$E$12,2,FALSE)),CONCATENATE(C90,". "))</f>
        <v>P1. Asistencia técnica</v>
      </c>
      <c r="E90" s="42" t="str" cm="1">
        <f t="array" ref="E90">IFERROR(INDEX(_xlfn.TEXTSPLIT(I90,"."),2)&amp;"."&amp;INDEX(_xlfn.TEXTSPLIT(I90,"."),3),"")</f>
        <v>P1.2</v>
      </c>
      <c r="F90" s="42" t="str">
        <f>IFERROR(CONCATENATE(E90,". ",VLOOKUP(E90,'results, prods y acts'!$G$2:$H$16,2,FALSE)),"")</f>
        <v>P1.2. Acompañamiento</v>
      </c>
      <c r="G90" s="20" t="s">
        <v>4</v>
      </c>
      <c r="H90" s="20"/>
      <c r="I90" s="22" t="s">
        <v>195</v>
      </c>
      <c r="J90" s="15" t="s">
        <v>196</v>
      </c>
      <c r="K90" s="7" t="str">
        <f t="shared" si="7"/>
        <v>R4.P1.2.1. Acompañamiento al equipo coordinador de los GR y MP en la elaboración y seguimiento de los planes de control interno de SPP, e implementación del modelo de integridad en el marco del Programa GFP Subnacional</v>
      </c>
      <c r="L90" s="1" t="s">
        <v>8</v>
      </c>
      <c r="M90" s="33" t="s">
        <v>9</v>
      </c>
      <c r="N90" s="1" t="s">
        <v>197</v>
      </c>
      <c r="O90" s="6" t="s">
        <v>198</v>
      </c>
      <c r="R90" s="10">
        <v>2</v>
      </c>
      <c r="S90" s="9">
        <v>1</v>
      </c>
      <c r="T90" s="10">
        <v>1</v>
      </c>
      <c r="V90" s="9">
        <v>1</v>
      </c>
      <c r="W90" s="10">
        <v>1</v>
      </c>
      <c r="X90" s="10">
        <v>1</v>
      </c>
      <c r="Y90" s="10">
        <v>1</v>
      </c>
      <c r="Z90" s="10">
        <v>2</v>
      </c>
      <c r="AB90" s="11">
        <f t="shared" si="9"/>
        <v>10</v>
      </c>
    </row>
    <row r="91" spans="1:28" ht="22.8">
      <c r="A91" s="18" t="s">
        <v>190</v>
      </c>
      <c r="B91" s="42" t="str">
        <f>IFERROR(CONCATENATE(A91,". ",VLOOKUP(A91,'results, prods y acts'!$A$2:$B$8,2,FALSE)),"")</f>
        <v>R4. El control interno y la integridad pública del GSN se fortalecen</v>
      </c>
      <c r="C91" s="21" t="s">
        <v>5</v>
      </c>
      <c r="D91" s="42" t="str">
        <f>IFERROR(CONCATENATE(C91,". ",VLOOKUP(C91,'results, prods y acts'!$D$2:$E$12,2,FALSE)),CONCATENATE(C91,". "))</f>
        <v>P1. Asistencia técnica</v>
      </c>
      <c r="E91" s="42" t="str" cm="1">
        <f t="array" ref="E91">IFERROR(INDEX(_xlfn.TEXTSPLIT(I91,"."),2)&amp;"."&amp;INDEX(_xlfn.TEXTSPLIT(I91,"."),3),"")</f>
        <v>P1.2</v>
      </c>
      <c r="F91" s="42" t="str">
        <f>IFERROR(CONCATENATE(E91,". ",VLOOKUP(E91,'results, prods y acts'!$G$2:$H$16,2,FALSE)),"")</f>
        <v>P1.2. Acompañamiento</v>
      </c>
      <c r="G91" s="20" t="s">
        <v>4</v>
      </c>
      <c r="H91" s="20"/>
      <c r="I91" s="22" t="s">
        <v>307</v>
      </c>
      <c r="J91" s="15" t="s">
        <v>492</v>
      </c>
      <c r="K91" s="7" t="str">
        <f t="shared" si="7"/>
        <v xml:space="preserve">R4.P1.2.2. Acompañamiento al órgano rector en integridad y entidades del GN priorizadas en la implementación del modelo de integridad </v>
      </c>
      <c r="L91" s="34" t="s">
        <v>370</v>
      </c>
      <c r="M91" s="33" t="s">
        <v>9</v>
      </c>
      <c r="N91" s="34" t="s">
        <v>10</v>
      </c>
      <c r="O91" s="6" t="s">
        <v>493</v>
      </c>
      <c r="P91" s="2"/>
      <c r="Q91" s="2"/>
      <c r="R91" s="2"/>
      <c r="S91" s="2">
        <v>1</v>
      </c>
      <c r="T91" s="2"/>
      <c r="U91" s="26">
        <v>1</v>
      </c>
      <c r="V91" s="2"/>
      <c r="W91" s="2"/>
      <c r="X91" s="26">
        <v>1</v>
      </c>
      <c r="Y91" s="26">
        <v>1</v>
      </c>
      <c r="Z91" s="2"/>
      <c r="AA91" s="2"/>
      <c r="AB91" s="11">
        <f t="shared" si="9"/>
        <v>4</v>
      </c>
    </row>
    <row r="92" spans="1:28" ht="34.200000000000003">
      <c r="A92" s="18" t="s">
        <v>190</v>
      </c>
      <c r="B92" s="42" t="str">
        <f>IFERROR(CONCATENATE(A92,". ",VLOOKUP(A92,'results, prods y acts'!$A$2:$B$8,2,FALSE)),"")</f>
        <v>R4. El control interno y la integridad pública del GSN se fortalecen</v>
      </c>
      <c r="C92" s="21" t="s">
        <v>37</v>
      </c>
      <c r="D92" s="42" t="str">
        <f>IFERROR(CONCATENATE(C92,". ",VLOOKUP(C92,'results, prods y acts'!$D$2:$E$12,2,FALSE)),CONCATENATE(C92,". "))</f>
        <v>P2. Fortalecimiento de capacidades</v>
      </c>
      <c r="E92" s="42" t="str" cm="1">
        <f t="array" ref="E92">IFERROR(INDEX(_xlfn.TEXTSPLIT(I92,"."),2)&amp;"."&amp;INDEX(_xlfn.TEXTSPLIT(I92,"."),3),"")</f>
        <v>P2.1</v>
      </c>
      <c r="F92" s="42" t="str">
        <f>IFERROR(CONCATENATE(E92,". ",VLOOKUP(E92,'results, prods y acts'!$G$2:$H$16,2,FALSE)),"")</f>
        <v>P2.1. Cursos</v>
      </c>
      <c r="G92" s="20" t="s">
        <v>4</v>
      </c>
      <c r="H92" s="20"/>
      <c r="I92" s="22" t="s">
        <v>199</v>
      </c>
      <c r="J92" s="8" t="s">
        <v>200</v>
      </c>
      <c r="K92" s="7" t="str">
        <f t="shared" si="7"/>
        <v>R4.P2.1.1. Curso virtual a los GSN en control interno y/o gestión de riesgos, para optimizar la provisión de SPP</v>
      </c>
      <c r="L92" s="33" t="s">
        <v>201</v>
      </c>
      <c r="M92" s="33" t="s">
        <v>52</v>
      </c>
      <c r="N92" s="33" t="s">
        <v>41</v>
      </c>
      <c r="O92" s="7" t="s">
        <v>202</v>
      </c>
      <c r="P92" s="2"/>
      <c r="Q92" s="2"/>
      <c r="R92" s="2">
        <v>1</v>
      </c>
      <c r="V92" s="10">
        <v>1</v>
      </c>
      <c r="Y92" s="10">
        <v>1</v>
      </c>
      <c r="AB92" s="11">
        <f t="shared" si="9"/>
        <v>3</v>
      </c>
    </row>
    <row r="93" spans="1:28" ht="22.8">
      <c r="A93" s="18" t="s">
        <v>190</v>
      </c>
      <c r="B93" s="42" t="str">
        <f>IFERROR(CONCATENATE(A93,". ",VLOOKUP(A93,'results, prods y acts'!$A$2:$B$8,2,FALSE)),"")</f>
        <v>R4. El control interno y la integridad pública del GSN se fortalecen</v>
      </c>
      <c r="C93" s="21" t="s">
        <v>37</v>
      </c>
      <c r="D93" s="42" t="str">
        <f>IFERROR(CONCATENATE(C93,". ",VLOOKUP(C93,'results, prods y acts'!$D$2:$E$12,2,FALSE)),CONCATENATE(C93,". "))</f>
        <v>P2. Fortalecimiento de capacidades</v>
      </c>
      <c r="E93" s="42" t="str" cm="1">
        <f t="array" ref="E93">IFERROR(INDEX(_xlfn.TEXTSPLIT(I93,"."),2)&amp;"."&amp;INDEX(_xlfn.TEXTSPLIT(I93,"."),3),"")</f>
        <v>P2.3</v>
      </c>
      <c r="F93" s="42" t="str">
        <f>IFERROR(CONCATENATE(E93,". ",VLOOKUP(E93,'results, prods y acts'!$G$2:$H$16,2,FALSE)),"")</f>
        <v>P2.3. Capacitación ad hoc</v>
      </c>
      <c r="G93" s="20" t="s">
        <v>4</v>
      </c>
      <c r="H93" s="20"/>
      <c r="I93" s="22" t="s">
        <v>203</v>
      </c>
      <c r="J93" s="8" t="s">
        <v>511</v>
      </c>
      <c r="K93" s="7" t="str">
        <f t="shared" si="7"/>
        <v>R4.P2.3.1. Capacitación ad-hoc a los GSN sobre gestión de riesgos, orientada a la provisión de SPP</v>
      </c>
      <c r="L93" s="1" t="s">
        <v>204</v>
      </c>
      <c r="M93" s="33" t="s">
        <v>40</v>
      </c>
      <c r="N93" s="33" t="s">
        <v>41</v>
      </c>
      <c r="O93" s="6" t="s">
        <v>205</v>
      </c>
      <c r="S93" s="9">
        <v>1</v>
      </c>
      <c r="U93" s="9">
        <v>1</v>
      </c>
      <c r="W93" s="9">
        <v>1</v>
      </c>
      <c r="X93" s="10">
        <v>1</v>
      </c>
      <c r="Y93" s="10">
        <v>1</v>
      </c>
      <c r="Z93" s="9">
        <v>1</v>
      </c>
      <c r="AB93" s="11">
        <f t="shared" si="9"/>
        <v>6</v>
      </c>
    </row>
    <row r="94" spans="1:28" ht="34.200000000000003">
      <c r="A94" s="18" t="s">
        <v>190</v>
      </c>
      <c r="B94" s="42" t="str">
        <f>IFERROR(CONCATENATE(A94,". ",VLOOKUP(A94,'results, prods y acts'!$A$2:$B$8,2,FALSE)),"")</f>
        <v>R4. El control interno y la integridad pública del GSN se fortalecen</v>
      </c>
      <c r="C94" s="21" t="s">
        <v>37</v>
      </c>
      <c r="D94" s="42" t="str">
        <f>IFERROR(CONCATENATE(C94,". ",VLOOKUP(C94,'results, prods y acts'!$D$2:$E$12,2,FALSE)),CONCATENATE(C94,". "))</f>
        <v>P2. Fortalecimiento de capacidades</v>
      </c>
      <c r="E94" s="42" t="str" cm="1">
        <f t="array" ref="E94">IFERROR(INDEX(_xlfn.TEXTSPLIT(I94,"."),2)&amp;"."&amp;INDEX(_xlfn.TEXTSPLIT(I94,"."),3),"")</f>
        <v>P2.5</v>
      </c>
      <c r="F94" s="42" t="str">
        <f>IFERROR(CONCATENATE(E94,". ",VLOOKUP(E94,'results, prods y acts'!$G$2:$H$16,2,FALSE)),"")</f>
        <v>P2.5. Charla</v>
      </c>
      <c r="G94" s="20" t="s">
        <v>4</v>
      </c>
      <c r="H94" s="20"/>
      <c r="I94" s="22" t="s">
        <v>206</v>
      </c>
      <c r="J94" s="8" t="s">
        <v>207</v>
      </c>
      <c r="K94" s="7" t="str">
        <f t="shared" si="7"/>
        <v>R4.P2.5.1. Charlas informativas y charlas de sensibilización en materia de control interno o integridad pública, dirigidas a funcionarios y servidores de los GSN que participan en la provisión de los SPP</v>
      </c>
      <c r="L94" s="1" t="s">
        <v>35</v>
      </c>
      <c r="M94" s="33" t="s">
        <v>36</v>
      </c>
      <c r="N94" s="33" t="s">
        <v>41</v>
      </c>
      <c r="O94" s="6" t="s">
        <v>208</v>
      </c>
      <c r="S94" s="10">
        <v>1</v>
      </c>
      <c r="U94" s="10">
        <v>1</v>
      </c>
      <c r="W94" s="10">
        <v>1</v>
      </c>
      <c r="Y94" s="10">
        <v>2</v>
      </c>
      <c r="Z94" s="10">
        <v>1</v>
      </c>
      <c r="AB94" s="11">
        <f t="shared" si="9"/>
        <v>6</v>
      </c>
    </row>
    <row r="95" spans="1:28" ht="45.6">
      <c r="A95" s="18" t="s">
        <v>190</v>
      </c>
      <c r="B95" s="42" t="str">
        <f>IFERROR(CONCATENATE(A95,". ",VLOOKUP(A95,'results, prods y acts'!$A$2:$B$8,2,FALSE)),"")</f>
        <v>R4. El control interno y la integridad pública del GSN se fortalecen</v>
      </c>
      <c r="C95" s="21" t="s">
        <v>37</v>
      </c>
      <c r="D95" s="42" t="str">
        <f>IFERROR(CONCATENATE(C95,". ",VLOOKUP(C95,'results, prods y acts'!$D$2:$E$12,2,FALSE)),CONCATENATE(C95,". "))</f>
        <v>P2. Fortalecimiento de capacidades</v>
      </c>
      <c r="E95" s="42" t="str" cm="1">
        <f t="array" ref="E95">IFERROR(INDEX(_xlfn.TEXTSPLIT(I95,"."),2)&amp;"."&amp;INDEX(_xlfn.TEXTSPLIT(I95,"."),3),"")</f>
        <v>P2.5</v>
      </c>
      <c r="F95" s="42" t="str">
        <f>IFERROR(CONCATENATE(E95,". ",VLOOKUP(E95,'results, prods y acts'!$G$2:$H$16,2,FALSE)),"")</f>
        <v>P2.5. Charla</v>
      </c>
      <c r="G95" s="20" t="s">
        <v>4</v>
      </c>
      <c r="H95" s="20"/>
      <c r="I95" s="22" t="s">
        <v>209</v>
      </c>
      <c r="J95" s="8" t="s">
        <v>210</v>
      </c>
      <c r="K95" s="7" t="str">
        <f t="shared" si="7"/>
        <v>R4.P2.5.2. Charlas de sensibilización para la reflexión ética en la toma de decisiones y la internalización de valores, dirigidos a servidores en Unidades Orgánicas a cargo de coordinar, ejecutar y controlar los procesos de contratación pública en los GR y MP que brindan SPP</v>
      </c>
      <c r="L95" s="1" t="s">
        <v>35</v>
      </c>
      <c r="M95" s="33" t="s">
        <v>36</v>
      </c>
      <c r="N95" s="33" t="s">
        <v>41</v>
      </c>
      <c r="O95" s="6" t="s">
        <v>211</v>
      </c>
      <c r="S95" s="9">
        <v>1</v>
      </c>
      <c r="U95" s="10">
        <v>1</v>
      </c>
      <c r="V95" s="10">
        <v>1</v>
      </c>
      <c r="W95" s="10">
        <v>1</v>
      </c>
      <c r="Y95" s="10">
        <v>1</v>
      </c>
      <c r="Z95" s="10">
        <v>1</v>
      </c>
      <c r="AB95" s="11">
        <f t="shared" si="9"/>
        <v>6</v>
      </c>
    </row>
    <row r="96" spans="1:28" ht="34.200000000000003">
      <c r="A96" s="18" t="s">
        <v>190</v>
      </c>
      <c r="B96" s="42" t="str">
        <f>IFERROR(CONCATENATE(A96,". ",VLOOKUP(A96,'results, prods y acts'!$A$2:$B$8,2,FALSE)),"")</f>
        <v>R4. El control interno y la integridad pública del GSN se fortalecen</v>
      </c>
      <c r="C96" s="21" t="s">
        <v>37</v>
      </c>
      <c r="D96" s="42" t="str">
        <f>IFERROR(CONCATENATE(C96,". ",VLOOKUP(C96,'results, prods y acts'!$D$2:$E$12,2,FALSE)),CONCATENATE(C96,". "))</f>
        <v>P2. Fortalecimiento de capacidades</v>
      </c>
      <c r="E96" s="42" t="str" cm="1">
        <f t="array" ref="E96">IFERROR(INDEX(_xlfn.TEXTSPLIT(I96,"."),2)&amp;"."&amp;INDEX(_xlfn.TEXTSPLIT(I96,"."),3),"")</f>
        <v>P2.5</v>
      </c>
      <c r="F96" s="42" t="str">
        <f>IFERROR(CONCATENATE(E96,". ",VLOOKUP(E96,'results, prods y acts'!$G$2:$H$16,2,FALSE)),"")</f>
        <v>P2.5. Charla</v>
      </c>
      <c r="G96" s="20" t="s">
        <v>4</v>
      </c>
      <c r="H96" s="20"/>
      <c r="I96" s="22" t="s">
        <v>308</v>
      </c>
      <c r="J96" s="8" t="s">
        <v>371</v>
      </c>
      <c r="K96" s="7" t="str">
        <f t="shared" si="7"/>
        <v xml:space="preserve">R4.P2.5.3. Charlas  en materia de control interno, modelo de integridad, gestión de riesgos, ética y temas relacionados dirigidas a funcionarios y servidores de los GN </v>
      </c>
      <c r="L96" s="1" t="s">
        <v>35</v>
      </c>
      <c r="M96" s="33" t="s">
        <v>36</v>
      </c>
      <c r="N96" s="33" t="s">
        <v>41</v>
      </c>
      <c r="O96" s="6" t="s">
        <v>223</v>
      </c>
      <c r="P96" s="2"/>
      <c r="Q96" s="2"/>
      <c r="R96" s="2"/>
      <c r="S96" s="2"/>
      <c r="T96" s="2"/>
      <c r="U96" s="2">
        <v>1</v>
      </c>
      <c r="V96" s="2"/>
      <c r="W96" s="2"/>
      <c r="X96" s="2">
        <v>1</v>
      </c>
      <c r="Y96" s="2"/>
      <c r="Z96" s="2"/>
      <c r="AA96" s="2"/>
      <c r="AB96" s="11">
        <f t="shared" si="9"/>
        <v>2</v>
      </c>
    </row>
    <row r="97" spans="1:28" ht="22.8">
      <c r="A97" s="18" t="s">
        <v>190</v>
      </c>
      <c r="B97" s="42" t="str">
        <f>IFERROR(CONCATENATE(A97,". ",VLOOKUP(A97,'results, prods y acts'!$A$2:$B$8,2,FALSE)),"")</f>
        <v>R4. El control interno y la integridad pública del GSN se fortalecen</v>
      </c>
      <c r="C97" s="21" t="s">
        <v>53</v>
      </c>
      <c r="D97" s="42" t="str">
        <f>IFERROR(CONCATENATE(C97,". ",VLOOKUP(C97,'results, prods y acts'!$D$2:$E$12,2,FALSE)),CONCATENATE(C97,". "))</f>
        <v>P3. Instrumentos de mejora de la gestión</v>
      </c>
      <c r="E97" s="42" t="str" cm="1">
        <f t="array" ref="E97">IFERROR(INDEX(_xlfn.TEXTSPLIT(I97,"."),2)&amp;"."&amp;INDEX(_xlfn.TEXTSPLIT(I97,"."),3),"")</f>
        <v>P3.4</v>
      </c>
      <c r="F97" s="42" t="str">
        <f>IFERROR(CONCATENATE(E97,". ",VLOOKUP(E97,'results, prods y acts'!$G$2:$H$16,2,FALSE)),"")</f>
        <v>P3.4. Propuesta de modificación técnico-administrativa a nivel institucional</v>
      </c>
      <c r="G97" s="20" t="s">
        <v>4</v>
      </c>
      <c r="H97" s="20"/>
      <c r="I97" s="22" t="s">
        <v>212</v>
      </c>
      <c r="J97" s="7" t="s">
        <v>213</v>
      </c>
      <c r="K97" s="7" t="str">
        <f t="shared" si="7"/>
        <v>R4.P3.4.1. Propuesta de directiva/protocolo/lineamientos sobre control interno o modelo de integridad a nivel de GSN</v>
      </c>
      <c r="L97" s="34" t="s">
        <v>54</v>
      </c>
      <c r="M97" s="34" t="s">
        <v>55</v>
      </c>
      <c r="N97" s="34" t="s">
        <v>41</v>
      </c>
      <c r="O97" s="15" t="s">
        <v>183</v>
      </c>
      <c r="P97" s="25"/>
      <c r="Q97" s="25"/>
      <c r="R97" s="25"/>
      <c r="S97" s="2"/>
      <c r="T97" s="2"/>
      <c r="U97" s="2"/>
      <c r="V97" s="2"/>
      <c r="W97" s="2">
        <v>1</v>
      </c>
      <c r="X97" s="2"/>
      <c r="Y97" s="2"/>
      <c r="Z97" s="2"/>
      <c r="AA97" s="2"/>
      <c r="AB97" s="11">
        <f t="shared" si="9"/>
        <v>1</v>
      </c>
    </row>
    <row r="98" spans="1:28" ht="22.8">
      <c r="A98" s="18" t="s">
        <v>190</v>
      </c>
      <c r="B98" s="42" t="str">
        <f>IFERROR(CONCATENATE(A98,". ",VLOOKUP(A98,'results, prods y acts'!$A$2:$B$8,2,FALSE)),"")</f>
        <v>R4. El control interno y la integridad pública del GSN se fortalecen</v>
      </c>
      <c r="C98" s="21" t="s">
        <v>53</v>
      </c>
      <c r="D98" s="42" t="str">
        <f>IFERROR(CONCATENATE(C98,". ",VLOOKUP(C98,'results, prods y acts'!$D$2:$E$12,2,FALSE)),CONCATENATE(C98,". "))</f>
        <v>P3. Instrumentos de mejora de la gestión</v>
      </c>
      <c r="E98" s="42" t="str" cm="1">
        <f t="array" ref="E98">IFERROR(INDEX(_xlfn.TEXTSPLIT(I98,"."),2)&amp;"."&amp;INDEX(_xlfn.TEXTSPLIT(I98,"."),3),"")</f>
        <v>P3.5</v>
      </c>
      <c r="F98" s="42" t="str">
        <f>IFERROR(CONCATENATE(E98,". ",VLOOKUP(E98,'results, prods y acts'!$G$2:$H$16,2,FALSE)),"")</f>
        <v>P3.5. Propuesta de modificación técnico-administrativa a nivel sectorial</v>
      </c>
      <c r="G98" s="20" t="s">
        <v>4</v>
      </c>
      <c r="H98" s="20"/>
      <c r="I98" s="22" t="s">
        <v>214</v>
      </c>
      <c r="J98" s="7" t="s">
        <v>215</v>
      </c>
      <c r="K98" s="7" t="str">
        <f t="shared" si="7"/>
        <v>R4.P3.5.1. Propuesta de reforma tecnico administrativa sobre control interno o modelo de integridad a nivel de sector (CGR o SIP)</v>
      </c>
      <c r="L98" s="34" t="s">
        <v>54</v>
      </c>
      <c r="M98" s="34" t="s">
        <v>55</v>
      </c>
      <c r="N98" s="34" t="s">
        <v>41</v>
      </c>
      <c r="O98" s="15" t="s">
        <v>183</v>
      </c>
      <c r="P98" s="25"/>
      <c r="Q98" s="25"/>
      <c r="R98" s="25"/>
      <c r="S98" s="2"/>
      <c r="T98" s="2"/>
      <c r="U98" s="2"/>
      <c r="V98" s="2"/>
      <c r="W98" s="2"/>
      <c r="X98" s="2"/>
      <c r="Y98" s="2"/>
      <c r="Z98" s="26">
        <v>1</v>
      </c>
      <c r="AA98" s="2"/>
      <c r="AB98" s="11">
        <f t="shared" si="9"/>
        <v>1</v>
      </c>
    </row>
    <row r="99" spans="1:28" ht="21.9" customHeight="1">
      <c r="A99" s="18" t="s">
        <v>190</v>
      </c>
      <c r="B99" s="42" t="str">
        <f>IFERROR(CONCATENATE(A99,". ",VLOOKUP(A99,'results, prods y acts'!$A$2:$B$8,2,FALSE)),"")</f>
        <v>R4. El control interno y la integridad pública del GSN se fortalecen</v>
      </c>
      <c r="C99" s="21" t="s">
        <v>64</v>
      </c>
      <c r="D99" s="42" t="str">
        <f>IFERROR(CONCATENATE(C99,". ",VLOOKUP(C99,'results, prods y acts'!$D$2:$E$12,2,FALSE)),CONCATENATE(C99,". "))</f>
        <v>P4. Tecnologia de la Informacion / Instrumentos de innovación</v>
      </c>
      <c r="E99" s="42" t="str" cm="1">
        <f t="array" ref="E99">IFERROR(INDEX(_xlfn.TEXTSPLIT(I99,"."),2)&amp;"."&amp;INDEX(_xlfn.TEXTSPLIT(I99,"."),3),"")</f>
        <v>P4.1</v>
      </c>
      <c r="F99" s="42" t="str">
        <f>IFERROR(CONCATENATE(E99,". ",VLOOKUP(E99,'results, prods y acts'!$G$2:$H$16,2,FALSE)),"")</f>
        <v>P4.1. Estrategia para la eficiencia de procesos</v>
      </c>
      <c r="G99" s="20" t="s">
        <v>4</v>
      </c>
      <c r="H99" s="20"/>
      <c r="I99" s="22" t="s">
        <v>216</v>
      </c>
      <c r="J99" s="7" t="s">
        <v>217</v>
      </c>
      <c r="K99" s="7" t="str">
        <f t="shared" si="7"/>
        <v>R4.P4.1.1. Propuesta de eficiencia de procesos en control interno o modelo de integridad</v>
      </c>
      <c r="L99" s="33" t="s">
        <v>54</v>
      </c>
      <c r="M99" s="33" t="s">
        <v>55</v>
      </c>
      <c r="N99" s="34" t="s">
        <v>41</v>
      </c>
      <c r="O99" s="7"/>
      <c r="P99" s="2"/>
      <c r="Q99" s="2"/>
      <c r="R99" s="2"/>
      <c r="AA99" s="10">
        <v>1</v>
      </c>
      <c r="AB99" s="11">
        <f t="shared" si="9"/>
        <v>1</v>
      </c>
    </row>
    <row r="100" spans="1:28" ht="30" customHeight="1">
      <c r="A100" s="18" t="s">
        <v>190</v>
      </c>
      <c r="B100" s="42" t="str">
        <f>IFERROR(CONCATENATE(A100,". ",VLOOKUP(A100,'results, prods y acts'!$A$2:$B$8,2,FALSE)),"")</f>
        <v>R4. El control interno y la integridad pública del GSN se fortalecen</v>
      </c>
      <c r="C100" s="21" t="s">
        <v>76</v>
      </c>
      <c r="D100" s="42" t="str">
        <f>IFERROR(CONCATENATE(C100,". ",VLOOKUP(C100,'results, prods y acts'!$D$2:$E$12,2,FALSE)),CONCATENATE(C100,". "))</f>
        <v>P5. Instrumentos de Gestión del Conocimiento (Publicaciones)</v>
      </c>
      <c r="E100" s="42" t="str" cm="1">
        <f t="array" ref="E100">IFERROR(INDEX(_xlfn.TEXTSPLIT(I100,"."),2)&amp;"."&amp;INDEX(_xlfn.TEXTSPLIT(I100,"."),3),"")</f>
        <v>P5.1</v>
      </c>
      <c r="F100" s="42" t="str">
        <f>IFERROR(CONCATENATE(E100,". ",VLOOKUP(E100,'results, prods y acts'!$G$2:$H$16,2,FALSE)),"")</f>
        <v>P5.1. Documentos de trabajo</v>
      </c>
      <c r="G100" s="20" t="s">
        <v>4</v>
      </c>
      <c r="H100" s="20"/>
      <c r="I100" s="22" t="s">
        <v>494</v>
      </c>
      <c r="J100" s="7" t="s">
        <v>218</v>
      </c>
      <c r="K100" s="7" t="str">
        <f t="shared" si="7"/>
        <v>R4.P5.1.1. Documentos de trabajo en control interno / modelo de integridad pública</v>
      </c>
      <c r="L100" s="33" t="s">
        <v>219</v>
      </c>
      <c r="M100" s="33" t="s">
        <v>56</v>
      </c>
      <c r="N100" s="33" t="s">
        <v>56</v>
      </c>
      <c r="O100" s="6" t="s">
        <v>220</v>
      </c>
      <c r="S100" s="2"/>
      <c r="T100" s="2"/>
      <c r="U100" s="2"/>
      <c r="V100" s="10">
        <v>1</v>
      </c>
      <c r="AB100" s="11">
        <f t="shared" si="9"/>
        <v>1</v>
      </c>
    </row>
    <row r="101" spans="1:28" ht="21.75" customHeight="1">
      <c r="A101" s="18" t="s">
        <v>190</v>
      </c>
      <c r="B101" s="42" t="str">
        <f>IFERROR(CONCATENATE(A101,". ",VLOOKUP(A101,'results, prods y acts'!$A$2:$B$8,2,FALSE)),"")</f>
        <v>R4. El control interno y la integridad pública del GSN se fortalecen</v>
      </c>
      <c r="C101" s="21" t="s">
        <v>76</v>
      </c>
      <c r="D101" s="42" t="str">
        <f>IFERROR(CONCATENATE(C101,". ",VLOOKUP(C101,'results, prods y acts'!$D$2:$E$12,2,FALSE)),CONCATENATE(C101,". "))</f>
        <v>P5. Instrumentos de Gestión del Conocimiento (Publicaciones)</v>
      </c>
      <c r="E101" s="42" t="str" cm="1">
        <f t="array" ref="E101">IFERROR(INDEX(_xlfn.TEXTSPLIT(I101,"."),2)&amp;"."&amp;INDEX(_xlfn.TEXTSPLIT(I101,"."),3),"")</f>
        <v>P5.3</v>
      </c>
      <c r="F101" s="42" t="str">
        <f>IFERROR(CONCATENATE(E101,". ",VLOOKUP(E101,'results, prods y acts'!$G$2:$H$16,2,FALSE)),"")</f>
        <v>P5.3. Documentos de política</v>
      </c>
      <c r="G101" s="20" t="s">
        <v>4</v>
      </c>
      <c r="H101" s="20"/>
      <c r="I101" s="22" t="s">
        <v>221</v>
      </c>
      <c r="J101" s="7" t="s">
        <v>222</v>
      </c>
      <c r="K101" s="7" t="str">
        <f t="shared" si="7"/>
        <v>R4.P5.3.1. Documento de politica sobre SCI y modelo de integridad pública</v>
      </c>
      <c r="L101" s="34" t="s">
        <v>133</v>
      </c>
      <c r="M101" s="34" t="s">
        <v>56</v>
      </c>
      <c r="N101" s="33" t="s">
        <v>350</v>
      </c>
      <c r="O101" s="15" t="s">
        <v>183</v>
      </c>
      <c r="P101" s="25"/>
      <c r="Q101" s="25"/>
      <c r="R101" s="25"/>
      <c r="S101" s="2"/>
      <c r="T101" s="2"/>
      <c r="U101" s="26">
        <v>1</v>
      </c>
      <c r="V101" s="2"/>
      <c r="W101" s="2"/>
      <c r="X101" s="2"/>
      <c r="Y101" s="2"/>
      <c r="Z101" s="2"/>
      <c r="AA101" s="26">
        <v>1</v>
      </c>
      <c r="AB101" s="11">
        <f t="shared" si="9"/>
        <v>2</v>
      </c>
    </row>
    <row r="102" spans="1:28" ht="34.200000000000003">
      <c r="A102" s="18" t="s">
        <v>190</v>
      </c>
      <c r="B102" s="42" t="str">
        <f>IFERROR(CONCATENATE(A102,". ",VLOOKUP(A102,'results, prods y acts'!$A$2:$B$8,2,FALSE)),"")</f>
        <v>R4. El control interno y la integridad pública del GSN se fortalecen</v>
      </c>
      <c r="C102" s="42" t="s">
        <v>583</v>
      </c>
      <c r="D102" s="42" t="str">
        <f>IFERROR(CONCATENATE(C102,". ",VLOOKUP(C102,'results, prods y acts'!$D$2:$E$12,2,FALSE)),CONCATENATE(C102,". "))</f>
        <v xml:space="preserve">P6. </v>
      </c>
      <c r="E102" s="42"/>
      <c r="F102" s="42" t="str">
        <f>IFERROR(CONCATENATE(E102,". ",VLOOKUP(E102,'results, prods y acts'!$G$2:$H$16,2,FALSE)),"")</f>
        <v/>
      </c>
      <c r="G102" s="20" t="s">
        <v>57</v>
      </c>
      <c r="H102" s="21" t="s">
        <v>224</v>
      </c>
      <c r="I102" s="22" t="s">
        <v>495</v>
      </c>
      <c r="J102" s="7" t="s">
        <v>225</v>
      </c>
      <c r="K102" s="7" t="str">
        <f t="shared" si="7"/>
        <v>R4.P6.2.1. Reuniones de trabajo sobre productos para promover una cultura de integridad y aspectos metodológicos para la gestión de riesgos, así como potenciar las capacitaciones ad-hoc y el curso virtual previsto</v>
      </c>
      <c r="L102" s="1" t="s">
        <v>33</v>
      </c>
      <c r="M102" s="33" t="s">
        <v>31</v>
      </c>
      <c r="N102" s="1" t="s">
        <v>274</v>
      </c>
      <c r="O102" s="7" t="s">
        <v>226</v>
      </c>
      <c r="P102" s="2"/>
      <c r="Q102" s="2">
        <v>1</v>
      </c>
      <c r="R102" s="2">
        <v>1</v>
      </c>
      <c r="T102" s="10">
        <v>1</v>
      </c>
      <c r="U102" s="2"/>
      <c r="V102" s="10">
        <v>1</v>
      </c>
      <c r="X102" s="10">
        <v>1</v>
      </c>
      <c r="Z102" s="9">
        <v>1</v>
      </c>
      <c r="AB102" s="11">
        <f t="shared" si="9"/>
        <v>6</v>
      </c>
    </row>
    <row r="103" spans="1:28" ht="34.200000000000003">
      <c r="A103" s="18" t="s">
        <v>227</v>
      </c>
      <c r="B103" s="42" t="str">
        <f>IFERROR(CONCATENATE(A103,". ",VLOOKUP(A103,'results, prods y acts'!$A$2:$B$8,2,FALSE)),"")</f>
        <v>R5. La capacidad de los operadores de justicia para recuperar activos ilícitos se consolida</v>
      </c>
      <c r="C103" s="21" t="s">
        <v>5</v>
      </c>
      <c r="D103" s="42" t="str">
        <f>IFERROR(CONCATENATE(C103,". ",VLOOKUP(C103,'results, prods y acts'!$D$2:$E$12,2,FALSE)),CONCATENATE(C103,". "))</f>
        <v>P1. Asistencia técnica</v>
      </c>
      <c r="E103" s="42" t="str" cm="1">
        <f t="array" ref="E103">IFERROR(INDEX(_xlfn.TEXTSPLIT(I103,"."),2)&amp;"."&amp;INDEX(_xlfn.TEXTSPLIT(I103,"."),3),"")</f>
        <v>P1.2</v>
      </c>
      <c r="F103" s="42" t="str">
        <f>IFERROR(CONCATENATE(E103,". ",VLOOKUP(E103,'results, prods y acts'!$G$2:$H$16,2,FALSE)),"")</f>
        <v>P1.2. Acompañamiento</v>
      </c>
      <c r="G103" s="20" t="s">
        <v>191</v>
      </c>
      <c r="H103" s="20"/>
      <c r="I103" s="22" t="s">
        <v>917</v>
      </c>
      <c r="J103" s="12" t="s">
        <v>229</v>
      </c>
      <c r="K103" s="7" t="str">
        <f t="shared" si="7"/>
        <v>R5.P1.2.1. Asistencia técnica para la formulación de demandas, medidas cautelares y formulación de estrategias legales en casos emblemáticos de recuperación de activos ilícitos</v>
      </c>
      <c r="L103" s="33" t="s">
        <v>8</v>
      </c>
      <c r="M103" s="33" t="s">
        <v>9</v>
      </c>
      <c r="N103" s="33" t="s">
        <v>230</v>
      </c>
      <c r="O103" s="7" t="s">
        <v>231</v>
      </c>
      <c r="P103" s="9">
        <v>2</v>
      </c>
      <c r="Q103" s="10">
        <v>2</v>
      </c>
      <c r="R103" s="10">
        <v>2</v>
      </c>
      <c r="S103" s="10">
        <v>2</v>
      </c>
      <c r="T103" s="10">
        <v>2</v>
      </c>
      <c r="U103" s="10">
        <v>2</v>
      </c>
      <c r="V103" s="10">
        <v>2</v>
      </c>
      <c r="W103" s="10">
        <v>2</v>
      </c>
      <c r="X103" s="10">
        <v>2</v>
      </c>
      <c r="Y103" s="10">
        <v>2</v>
      </c>
      <c r="Z103" s="10">
        <v>2</v>
      </c>
      <c r="AA103" s="10">
        <v>2</v>
      </c>
      <c r="AB103" s="11">
        <f t="shared" si="9"/>
        <v>24</v>
      </c>
    </row>
    <row r="104" spans="1:28" ht="34.200000000000003">
      <c r="A104" s="18" t="s">
        <v>227</v>
      </c>
      <c r="B104" s="42" t="str">
        <f>IFERROR(CONCATENATE(A104,". ",VLOOKUP(A104,'results, prods y acts'!$A$2:$B$8,2,FALSE)),"")</f>
        <v>R5. La capacidad de los operadores de justicia para recuperar activos ilícitos se consolida</v>
      </c>
      <c r="C104" s="21" t="s">
        <v>5</v>
      </c>
      <c r="D104" s="42" t="str">
        <f>IFERROR(CONCATENATE(C104,". ",VLOOKUP(C104,'results, prods y acts'!$D$2:$E$12,2,FALSE)),CONCATENATE(C104,". "))</f>
        <v>P1. Asistencia técnica</v>
      </c>
      <c r="E104" s="42" t="str" cm="1">
        <f t="array" ref="E104">IFERROR(INDEX(_xlfn.TEXTSPLIT(I104,"."),2)&amp;"."&amp;INDEX(_xlfn.TEXTSPLIT(I104,"."),3),"")</f>
        <v>P1.3</v>
      </c>
      <c r="F104" s="42" t="str">
        <f>IFERROR(CONCATENATE(E104,". ",VLOOKUP(E104,'results, prods y acts'!$G$2:$H$16,2,FALSE)),"")</f>
        <v>P1.3. Reuniones de retroalimentación</v>
      </c>
      <c r="G104" s="20" t="s">
        <v>191</v>
      </c>
      <c r="H104" s="20"/>
      <c r="I104" s="22" t="s">
        <v>918</v>
      </c>
      <c r="J104" s="14" t="s">
        <v>232</v>
      </c>
      <c r="K104" s="7" t="str">
        <f t="shared" si="7"/>
        <v>R5.P1.3.1. Reuniones de retroalimentación para hacer seguimiento de la eficacia de la estrategía legal durante los procesos para la recuperación de activos ilícitos</v>
      </c>
      <c r="L104" s="33" t="s">
        <v>33</v>
      </c>
      <c r="M104" s="33" t="s">
        <v>31</v>
      </c>
      <c r="N104" s="33" t="s">
        <v>233</v>
      </c>
      <c r="O104" s="15" t="s">
        <v>234</v>
      </c>
      <c r="P104" s="10">
        <v>4</v>
      </c>
      <c r="Q104" s="10">
        <v>2</v>
      </c>
      <c r="R104" s="10">
        <v>1</v>
      </c>
      <c r="S104" s="10">
        <v>1</v>
      </c>
      <c r="T104" s="10">
        <v>1</v>
      </c>
      <c r="U104" s="10">
        <v>2</v>
      </c>
      <c r="V104" s="10">
        <v>1</v>
      </c>
      <c r="W104" s="10">
        <v>1</v>
      </c>
      <c r="X104" s="10">
        <v>1</v>
      </c>
      <c r="Y104" s="10">
        <v>1</v>
      </c>
      <c r="Z104" s="10">
        <v>2</v>
      </c>
      <c r="AA104" s="10">
        <v>1</v>
      </c>
      <c r="AB104" s="11">
        <f t="shared" si="9"/>
        <v>18</v>
      </c>
    </row>
    <row r="105" spans="1:28" ht="22.8">
      <c r="A105" s="18" t="s">
        <v>227</v>
      </c>
      <c r="B105" s="42" t="str">
        <f>IFERROR(CONCATENATE(A105,". ",VLOOKUP(A105,'results, prods y acts'!$A$2:$B$8,2,FALSE)),"")</f>
        <v>R5. La capacidad de los operadores de justicia para recuperar activos ilícitos se consolida</v>
      </c>
      <c r="C105" s="21" t="s">
        <v>37</v>
      </c>
      <c r="D105" s="42" t="str">
        <f>IFERROR(CONCATENATE(C105,". ",VLOOKUP(C105,'results, prods y acts'!$D$2:$E$12,2,FALSE)),CONCATENATE(C105,". "))</f>
        <v>P2. Fortalecimiento de capacidades</v>
      </c>
      <c r="E105" s="42" t="str" cm="1">
        <f t="array" ref="E105">IFERROR(INDEX(_xlfn.TEXTSPLIT(I105,"."),2)&amp;"."&amp;INDEX(_xlfn.TEXTSPLIT(I105,"."),3),"")</f>
        <v>P2.2</v>
      </c>
      <c r="F105" s="42" t="str">
        <f>IFERROR(CONCATENATE(E105,". ",VLOOKUP(E105,'results, prods y acts'!$G$2:$H$16,2,FALSE)),"")</f>
        <v>P2.2. Diplomado</v>
      </c>
      <c r="G105" s="20" t="s">
        <v>191</v>
      </c>
      <c r="H105" s="20"/>
      <c r="I105" s="22" t="s">
        <v>919</v>
      </c>
      <c r="J105" s="14" t="s">
        <v>241</v>
      </c>
      <c r="K105" s="7" t="str">
        <f t="shared" si="7"/>
        <v>R5.P2.2.1. Diplomado especializado en recuperación de activos ilícitos</v>
      </c>
      <c r="L105" s="33" t="s">
        <v>119</v>
      </c>
      <c r="M105" s="33" t="s">
        <v>120</v>
      </c>
      <c r="N105" s="33" t="s">
        <v>41</v>
      </c>
      <c r="O105" s="15" t="s">
        <v>242</v>
      </c>
      <c r="P105" s="2"/>
      <c r="Q105" s="2"/>
      <c r="R105" s="2"/>
      <c r="S105" s="2">
        <v>1</v>
      </c>
      <c r="T105" s="2"/>
      <c r="AB105" s="11">
        <f t="shared" si="9"/>
        <v>1</v>
      </c>
    </row>
    <row r="106" spans="1:28" ht="34.200000000000003">
      <c r="A106" s="18" t="s">
        <v>227</v>
      </c>
      <c r="B106" s="42" t="str">
        <f>IFERROR(CONCATENATE(A106,". ",VLOOKUP(A106,'results, prods y acts'!$A$2:$B$8,2,FALSE)),"")</f>
        <v>R5. La capacidad de los operadores de justicia para recuperar activos ilícitos se consolida</v>
      </c>
      <c r="C106" s="21" t="s">
        <v>37</v>
      </c>
      <c r="D106" s="42" t="str">
        <f>IFERROR(CONCATENATE(C106,". ",VLOOKUP(C106,'results, prods y acts'!$D$2:$E$12,2,FALSE)),CONCATENATE(C106,". "))</f>
        <v>P2. Fortalecimiento de capacidades</v>
      </c>
      <c r="E106" s="42" t="str" cm="1">
        <f t="array" ref="E106">IFERROR(INDEX(_xlfn.TEXTSPLIT(I106,"."),2)&amp;"."&amp;INDEX(_xlfn.TEXTSPLIT(I106,"."),3),"")</f>
        <v>P2.4</v>
      </c>
      <c r="F106" s="42" t="str">
        <f>IFERROR(CONCATENATE(E106,". ",VLOOKUP(E106,'results, prods y acts'!$G$2:$H$16,2,FALSE)),"")</f>
        <v>P2.4. Programa de entrenamiento</v>
      </c>
      <c r="G106" s="20" t="s">
        <v>191</v>
      </c>
      <c r="H106" s="20"/>
      <c r="I106" s="22" t="s">
        <v>920</v>
      </c>
      <c r="J106" s="14" t="s">
        <v>336</v>
      </c>
      <c r="K106" s="7" t="str">
        <f t="shared" si="7"/>
        <v xml:space="preserve">R5.P2.4.1. Diseño de Programas de entrenamiento en temas especializados vinculados a la recuperación de activos ilícitos </v>
      </c>
      <c r="L106" s="33" t="s">
        <v>235</v>
      </c>
      <c r="M106" s="33" t="s">
        <v>236</v>
      </c>
      <c r="N106" s="33" t="s">
        <v>41</v>
      </c>
      <c r="O106" s="15" t="s">
        <v>237</v>
      </c>
      <c r="P106" s="2"/>
      <c r="Q106" s="2"/>
      <c r="R106" s="2"/>
      <c r="S106" s="2"/>
      <c r="T106" s="2"/>
      <c r="V106" s="9">
        <v>1</v>
      </c>
      <c r="AB106" s="11">
        <f t="shared" si="9"/>
        <v>1</v>
      </c>
    </row>
    <row r="107" spans="1:28" ht="22.8">
      <c r="A107" s="18" t="s">
        <v>227</v>
      </c>
      <c r="B107" s="42" t="str">
        <f>IFERROR(CONCATENATE(A107,". ",VLOOKUP(A107,'results, prods y acts'!$A$2:$B$8,2,FALSE)),"")</f>
        <v>R5. La capacidad de los operadores de justicia para recuperar activos ilícitos se consolida</v>
      </c>
      <c r="C107" s="21" t="s">
        <v>37</v>
      </c>
      <c r="D107" s="42" t="str">
        <f>IFERROR(CONCATENATE(C107,". ",VLOOKUP(C107,'results, prods y acts'!$D$2:$E$12,2,FALSE)),CONCATENATE(C107,". "))</f>
        <v>P2. Fortalecimiento de capacidades</v>
      </c>
      <c r="E107" s="42" t="str" cm="1">
        <f t="array" ref="E107">IFERROR(INDEX(_xlfn.TEXTSPLIT(I107,"."),2)&amp;"."&amp;INDEX(_xlfn.TEXTSPLIT(I107,"."),3),"")</f>
        <v>P2.4</v>
      </c>
      <c r="F107" s="42" t="str">
        <f>IFERROR(CONCATENATE(E107,". ",VLOOKUP(E107,'results, prods y acts'!$G$2:$H$16,2,FALSE)),"")</f>
        <v>P2.4. Programa de entrenamiento</v>
      </c>
      <c r="G107" s="20" t="s">
        <v>191</v>
      </c>
      <c r="H107" s="20"/>
      <c r="I107" s="22" t="s">
        <v>921</v>
      </c>
      <c r="J107" s="14" t="s">
        <v>238</v>
      </c>
      <c r="K107" s="7" t="str">
        <f t="shared" si="7"/>
        <v>R5.P2.4.2. Ejecución de Programas de entrenamiento en temas especializados vinculados a la recuperación de activos ilícitos</v>
      </c>
      <c r="L107" s="33" t="s">
        <v>239</v>
      </c>
      <c r="M107" s="33" t="s">
        <v>236</v>
      </c>
      <c r="N107" s="33" t="s">
        <v>41</v>
      </c>
      <c r="O107" s="15" t="s">
        <v>240</v>
      </c>
      <c r="P107" s="2"/>
      <c r="Q107" s="2"/>
      <c r="R107" s="2"/>
      <c r="S107" s="2"/>
      <c r="T107" s="2"/>
      <c r="V107" s="10">
        <v>1</v>
      </c>
      <c r="X107" s="10">
        <v>1</v>
      </c>
      <c r="AB107" s="11">
        <f t="shared" si="9"/>
        <v>2</v>
      </c>
    </row>
    <row r="108" spans="1:28" ht="36" customHeight="1">
      <c r="A108" s="18" t="s">
        <v>227</v>
      </c>
      <c r="B108" s="42" t="str">
        <f>IFERROR(CONCATENATE(A108,". ",VLOOKUP(A108,'results, prods y acts'!$A$2:$B$8,2,FALSE)),"")</f>
        <v>R5. La capacidad de los operadores de justicia para recuperar activos ilícitos se consolida</v>
      </c>
      <c r="C108" s="21" t="s">
        <v>53</v>
      </c>
      <c r="D108" s="42" t="str">
        <f>IFERROR(CONCATENATE(C108,". ",VLOOKUP(C108,'results, prods y acts'!$D$2:$E$12,2,FALSE)),CONCATENATE(C108,". "))</f>
        <v>P3. Instrumentos de mejora de la gestión</v>
      </c>
      <c r="E108" s="42" t="str" cm="1">
        <f t="array" ref="E108">IFERROR(INDEX(_xlfn.TEXTSPLIT(I108,"."),2)&amp;"."&amp;INDEX(_xlfn.TEXTSPLIT(I108,"."),3),"")</f>
        <v>P3.5</v>
      </c>
      <c r="F108" s="42" t="str">
        <f>IFERROR(CONCATENATE(E108,". ",VLOOKUP(E108,'results, prods y acts'!$G$2:$H$16,2,FALSE)),"")</f>
        <v>P3.5. Propuesta de modificación técnico-administrativa a nivel sectorial</v>
      </c>
      <c r="G108" s="20" t="s">
        <v>191</v>
      </c>
      <c r="H108" s="20"/>
      <c r="I108" s="22" t="s">
        <v>498</v>
      </c>
      <c r="J108" s="12" t="s">
        <v>372</v>
      </c>
      <c r="K108" s="7" t="str">
        <f t="shared" si="7"/>
        <v>R5.P3.5.1. Protocolo de actuación en los procesos vinculados a la recuperación de activos ilícitos</v>
      </c>
      <c r="L108" s="33" t="s">
        <v>496</v>
      </c>
      <c r="M108" s="33" t="s">
        <v>429</v>
      </c>
      <c r="N108" s="33" t="s">
        <v>41</v>
      </c>
      <c r="O108" s="7" t="s">
        <v>497</v>
      </c>
      <c r="P108" s="2"/>
      <c r="Q108" s="2"/>
      <c r="R108" s="2"/>
      <c r="S108" s="2"/>
      <c r="T108" s="2"/>
      <c r="Z108" s="9">
        <v>1</v>
      </c>
      <c r="AB108" s="11">
        <f t="shared" si="9"/>
        <v>1</v>
      </c>
    </row>
    <row r="109" spans="1:28" ht="36.75" customHeight="1">
      <c r="A109" s="18" t="s">
        <v>227</v>
      </c>
      <c r="B109" s="42" t="str">
        <f>IFERROR(CONCATENATE(A109,". ",VLOOKUP(A109,'results, prods y acts'!$A$2:$B$8,2,FALSE)),"")</f>
        <v>R5. La capacidad de los operadores de justicia para recuperar activos ilícitos se consolida</v>
      </c>
      <c r="C109" s="39" t="s">
        <v>64</v>
      </c>
      <c r="D109" s="42" t="str">
        <f>IFERROR(CONCATENATE(C109,". ",VLOOKUP(C109,'results, prods y acts'!$D$2:$E$12,2,FALSE)),CONCATENATE(C109,". "))</f>
        <v>P4. Tecnologia de la Informacion / Instrumentos de innovación</v>
      </c>
      <c r="E109" s="42" t="str" cm="1">
        <f t="array" ref="E109">IFERROR(INDEX(_xlfn.TEXTSPLIT(I109,"."),2)&amp;"."&amp;INDEX(_xlfn.TEXTSPLIT(I109,"."),3),"")</f>
        <v>P4.2</v>
      </c>
      <c r="F109" s="42" t="str">
        <f>IFERROR(CONCATENATE(E109,". ",VLOOKUP(E109,'results, prods y acts'!$G$2:$H$16,2,FALSE)),"")</f>
        <v>P4.2. Intervención costo-efectivaaa</v>
      </c>
      <c r="G109" s="20" t="s">
        <v>191</v>
      </c>
      <c r="H109" s="20"/>
      <c r="I109" s="22" t="s">
        <v>547</v>
      </c>
      <c r="J109" s="12" t="s">
        <v>548</v>
      </c>
      <c r="K109" s="7" t="str">
        <f t="shared" si="7"/>
        <v>R5.P4.2.1.. Herramientas tecnológicas para la mejora de los procesos de recuperación de activos ilícitos</v>
      </c>
      <c r="L109" s="33" t="s">
        <v>549</v>
      </c>
      <c r="M109" s="33" t="s">
        <v>550</v>
      </c>
      <c r="N109" s="33" t="s">
        <v>41</v>
      </c>
      <c r="O109" s="7" t="s">
        <v>551</v>
      </c>
      <c r="P109" s="2">
        <v>1</v>
      </c>
      <c r="Q109" s="2"/>
      <c r="R109" s="2"/>
      <c r="S109" s="2"/>
      <c r="T109" s="2"/>
      <c r="AB109" s="11">
        <f t="shared" si="9"/>
        <v>1</v>
      </c>
    </row>
    <row r="110" spans="1:28" ht="18.75" customHeight="1">
      <c r="A110" s="18" t="s">
        <v>227</v>
      </c>
      <c r="B110" s="42" t="str">
        <f>IFERROR(CONCATENATE(A110,". ",VLOOKUP(A110,'results, prods y acts'!$A$2:$B$8,2,FALSE)),"")</f>
        <v>R5. La capacidad de los operadores de justicia para recuperar activos ilícitos se consolida</v>
      </c>
      <c r="C110" s="21" t="s">
        <v>76</v>
      </c>
      <c r="D110" s="42" t="str">
        <f>IFERROR(CONCATENATE(C110,". ",VLOOKUP(C110,'results, prods y acts'!$D$2:$E$12,2,FALSE)),CONCATENATE(C110,". "))</f>
        <v>P5. Instrumentos de Gestión del Conocimiento (Publicaciones)</v>
      </c>
      <c r="E110" s="42" t="str" cm="1">
        <f t="array" ref="E110">IFERROR(INDEX(_xlfn.TEXTSPLIT(I110,"."),2)&amp;"."&amp;INDEX(_xlfn.TEXTSPLIT(I110,"."),3),"")</f>
        <v>P5.1</v>
      </c>
      <c r="F110" s="42" t="str">
        <f>IFERROR(CONCATENATE(E110,". ",VLOOKUP(E110,'results, prods y acts'!$G$2:$H$16,2,FALSE)),"")</f>
        <v>P5.1. Documentos de trabajo</v>
      </c>
      <c r="G110" s="20" t="s">
        <v>191</v>
      </c>
      <c r="H110" s="20"/>
      <c r="I110" s="22" t="s">
        <v>914</v>
      </c>
      <c r="J110" s="12" t="s">
        <v>243</v>
      </c>
      <c r="K110" s="7" t="str">
        <f t="shared" si="7"/>
        <v>R5.P5.1.1. Revista especializada en recuperación de activos ilícitos</v>
      </c>
      <c r="L110" s="33" t="s">
        <v>244</v>
      </c>
      <c r="M110" s="33" t="s">
        <v>245</v>
      </c>
      <c r="N110" s="33" t="s">
        <v>56</v>
      </c>
      <c r="O110" s="7" t="s">
        <v>246</v>
      </c>
      <c r="P110" s="2"/>
      <c r="Q110" s="2"/>
      <c r="R110" s="2"/>
      <c r="S110" s="2"/>
      <c r="T110" s="2"/>
      <c r="U110" s="26">
        <v>1</v>
      </c>
      <c r="V110" s="2"/>
      <c r="W110" s="2"/>
      <c r="AB110" s="11">
        <f t="shared" si="9"/>
        <v>1</v>
      </c>
    </row>
    <row r="111" spans="1:28" ht="22.8">
      <c r="A111" s="18" t="s">
        <v>227</v>
      </c>
      <c r="B111" s="42" t="str">
        <f>IFERROR(CONCATENATE(A111,". ",VLOOKUP(A111,'results, prods y acts'!$A$2:$B$8,2,FALSE)),"")</f>
        <v>R5. La capacidad de los operadores de justicia para recuperar activos ilícitos se consolida</v>
      </c>
      <c r="C111" s="21" t="s">
        <v>76</v>
      </c>
      <c r="D111" s="42" t="str">
        <f>IFERROR(CONCATENATE(C111,". ",VLOOKUP(C111,'results, prods y acts'!$D$2:$E$12,2,FALSE)),CONCATENATE(C111,". "))</f>
        <v>P5. Instrumentos de Gestión del Conocimiento (Publicaciones)</v>
      </c>
      <c r="E111" s="42" t="str" cm="1">
        <f t="array" ref="E111">IFERROR(INDEX(_xlfn.TEXTSPLIT(I111,"."),2)&amp;"."&amp;INDEX(_xlfn.TEXTSPLIT(I111,"."),3),"")</f>
        <v>P5.2</v>
      </c>
      <c r="F111" s="42" t="str">
        <f>IFERROR(CONCATENATE(E111,". ",VLOOKUP(E111,'results, prods y acts'!$G$2:$H$16,2,FALSE)),"")</f>
        <v>P5.2. Documentos de buenas prácticas y lecciones aprendidas</v>
      </c>
      <c r="G111" s="20" t="s">
        <v>191</v>
      </c>
      <c r="H111" s="20"/>
      <c r="I111" s="22" t="s">
        <v>915</v>
      </c>
      <c r="J111" s="12" t="s">
        <v>247</v>
      </c>
      <c r="K111" s="7" t="str">
        <f t="shared" si="7"/>
        <v>R5.P5.2.1. Boletín de buenas prácticas y lecciones aprendidas para la recuperación de activos ilícitos</v>
      </c>
      <c r="L111" s="33" t="s">
        <v>248</v>
      </c>
      <c r="M111" s="33" t="s">
        <v>249</v>
      </c>
      <c r="N111" s="33" t="s">
        <v>56</v>
      </c>
      <c r="O111" s="7" t="s">
        <v>250</v>
      </c>
      <c r="P111" s="2"/>
      <c r="Q111" s="2"/>
      <c r="R111" s="2"/>
      <c r="S111" s="2"/>
      <c r="T111" s="2"/>
      <c r="U111" s="2">
        <v>1</v>
      </c>
      <c r="V111" s="2"/>
      <c r="W111" s="2"/>
      <c r="Z111" s="10">
        <v>1</v>
      </c>
      <c r="AB111" s="11">
        <f t="shared" si="9"/>
        <v>2</v>
      </c>
    </row>
    <row r="112" spans="1:28" ht="34.200000000000003">
      <c r="A112" s="18" t="s">
        <v>227</v>
      </c>
      <c r="B112" s="42" t="str">
        <f>IFERROR(CONCATENATE(A112,". ",VLOOKUP(A112,'results, prods y acts'!$A$2:$B$8,2,FALSE)),"")</f>
        <v>R5. La capacidad de los operadores de justicia para recuperar activos ilícitos se consolida</v>
      </c>
      <c r="C112" s="21" t="s">
        <v>76</v>
      </c>
      <c r="D112" s="42" t="str">
        <f>IFERROR(CONCATENATE(C112,". ",VLOOKUP(C112,'results, prods y acts'!$D$2:$E$12,2,FALSE)),CONCATENATE(C112,". "))</f>
        <v>P5. Instrumentos de Gestión del Conocimiento (Publicaciones)</v>
      </c>
      <c r="E112" s="42" t="str" cm="1">
        <f t="array" ref="E112">IFERROR(INDEX(_xlfn.TEXTSPLIT(I112,"."),2)&amp;"."&amp;INDEX(_xlfn.TEXTSPLIT(I112,"."),3),"")</f>
        <v>P5.2</v>
      </c>
      <c r="F112" s="42" t="str">
        <f>IFERROR(CONCATENATE(E112,". ",VLOOKUP(E112,'results, prods y acts'!$G$2:$H$16,2,FALSE)),"")</f>
        <v>P5.2. Documentos de buenas prácticas y lecciones aprendidas</v>
      </c>
      <c r="G112" s="20" t="s">
        <v>191</v>
      </c>
      <c r="H112" s="20"/>
      <c r="I112" s="22" t="s">
        <v>916</v>
      </c>
      <c r="J112" s="12" t="s">
        <v>251</v>
      </c>
      <c r="K112" s="7" t="str">
        <f t="shared" si="7"/>
        <v>R5.P5.2.2. Estudios de casos de recuperación de activos ilícitos</v>
      </c>
      <c r="L112" s="33" t="s">
        <v>252</v>
      </c>
      <c r="M112" s="33" t="s">
        <v>41</v>
      </c>
      <c r="N112" s="33" t="s">
        <v>56</v>
      </c>
      <c r="O112" s="7" t="s">
        <v>253</v>
      </c>
      <c r="P112" s="2"/>
      <c r="Q112" s="2"/>
      <c r="R112" s="2"/>
      <c r="S112" s="2"/>
      <c r="T112" s="2"/>
      <c r="U112" s="2"/>
      <c r="V112" s="2"/>
      <c r="W112" s="2"/>
      <c r="Y112" s="10">
        <v>1</v>
      </c>
      <c r="AB112" s="11">
        <f t="shared" si="9"/>
        <v>1</v>
      </c>
    </row>
    <row r="113" spans="1:28" ht="21.9" customHeight="1">
      <c r="A113" s="53" t="s">
        <v>287</v>
      </c>
      <c r="B113" s="42" t="str">
        <f>IFERROR(CONCATENATE(A113,". ",VLOOKUP(A113,'results, prods y acts'!$A$2:$B$8,2,FALSE)),"")</f>
        <v>CB. Conservación de la Biodiversidad y Lucha contra el Cambio Climático</v>
      </c>
      <c r="C113" s="35" t="s">
        <v>5</v>
      </c>
      <c r="D113" s="42" t="str">
        <f>IFERROR(CONCATENATE(C113,". ",VLOOKUP(C113,'results, prods y acts'!$D$2:$E$12,2,FALSE)),CONCATENATE(C113,". "))</f>
        <v>P1. Asistencia técnica</v>
      </c>
      <c r="E113" s="42" t="str" cm="1">
        <f t="array" ref="E113">IFERROR(INDEX(_xlfn.TEXTSPLIT(I113,"."),2)&amp;"."&amp;INDEX(_xlfn.TEXTSPLIT(I113,"."),3),"")</f>
        <v>P1.1</v>
      </c>
      <c r="F113" s="42" t="str">
        <f>IFERROR(CONCATENATE(E113,". ",VLOOKUP(E113,'results, prods y acts'!$G$2:$H$16,2,FALSE)),"")</f>
        <v>P1.1. Taller</v>
      </c>
      <c r="G113" s="20" t="s">
        <v>4</v>
      </c>
      <c r="H113" s="20"/>
      <c r="I113" s="15" t="s">
        <v>288</v>
      </c>
      <c r="J113" s="14" t="s">
        <v>289</v>
      </c>
      <c r="K113" s="7" t="str">
        <f t="shared" si="7"/>
        <v>CB.P1.1.1. Taller para la elaboración de plan de acción con los GORE.</v>
      </c>
      <c r="L113" s="34" t="s">
        <v>72</v>
      </c>
      <c r="M113" s="34" t="s">
        <v>65</v>
      </c>
      <c r="N113" s="33" t="s">
        <v>74</v>
      </c>
      <c r="O113" s="43" t="s">
        <v>499</v>
      </c>
      <c r="P113" s="36">
        <v>3</v>
      </c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11">
        <f t="shared" ref="AB113:AB126" si="10">SUM(P113:AA113)</f>
        <v>3</v>
      </c>
    </row>
    <row r="114" spans="1:28" ht="22.8">
      <c r="A114" s="53" t="s">
        <v>287</v>
      </c>
      <c r="B114" s="42" t="str">
        <f>IFERROR(CONCATENATE(A114,". ",VLOOKUP(A114,'results, prods y acts'!$A$2:$B$8,2,FALSE)),"")</f>
        <v>CB. Conservación de la Biodiversidad y Lucha contra el Cambio Climático</v>
      </c>
      <c r="C114" s="35" t="s">
        <v>5</v>
      </c>
      <c r="D114" s="42" t="str">
        <f>IFERROR(CONCATENATE(C114,". ",VLOOKUP(C114,'results, prods y acts'!$D$2:$E$12,2,FALSE)),CONCATENATE(C114,". "))</f>
        <v>P1. Asistencia técnica</v>
      </c>
      <c r="E114" s="42" t="str" cm="1">
        <f t="array" ref="E114">IFERROR(INDEX(_xlfn.TEXTSPLIT(I114,"."),2)&amp;"."&amp;INDEX(_xlfn.TEXTSPLIT(I114,"."),3),"")</f>
        <v>P1.2</v>
      </c>
      <c r="F114" s="42" t="str">
        <f>IFERROR(CONCATENATE(E114,". ",VLOOKUP(E114,'results, prods y acts'!$G$2:$H$16,2,FALSE)),"")</f>
        <v>P1.2. Acompañamiento</v>
      </c>
      <c r="G114" s="20" t="s">
        <v>4</v>
      </c>
      <c r="H114" s="20"/>
      <c r="I114" s="15" t="s">
        <v>290</v>
      </c>
      <c r="J114" s="14" t="s">
        <v>373</v>
      </c>
      <c r="K114" s="7" t="str">
        <f t="shared" si="7"/>
        <v>CB.P1.2.1. Asistencia técnica en la elaboración de estrategias de Vigilancia y Control de ACR</v>
      </c>
      <c r="L114" s="34" t="s">
        <v>8</v>
      </c>
      <c r="M114" s="34" t="s">
        <v>6</v>
      </c>
      <c r="N114" s="33" t="s">
        <v>10</v>
      </c>
      <c r="O114" s="43" t="s">
        <v>374</v>
      </c>
      <c r="P114" s="36"/>
      <c r="Q114" s="36"/>
      <c r="R114" s="36">
        <v>2</v>
      </c>
      <c r="S114" s="36">
        <v>2</v>
      </c>
      <c r="T114" s="36">
        <v>2</v>
      </c>
      <c r="U114" s="36">
        <v>2</v>
      </c>
      <c r="V114" s="36">
        <v>2</v>
      </c>
      <c r="W114" s="36"/>
      <c r="X114" s="36"/>
      <c r="Y114" s="36"/>
      <c r="Z114" s="36"/>
      <c r="AA114" s="36"/>
      <c r="AB114" s="11">
        <f t="shared" si="10"/>
        <v>10</v>
      </c>
    </row>
    <row r="115" spans="1:28" ht="27.75" customHeight="1">
      <c r="A115" s="53" t="s">
        <v>287</v>
      </c>
      <c r="B115" s="42" t="str">
        <f>IFERROR(CONCATENATE(A115,". ",VLOOKUP(A115,'results, prods y acts'!$A$2:$B$8,2,FALSE)),"")</f>
        <v>CB. Conservación de la Biodiversidad y Lucha contra el Cambio Climático</v>
      </c>
      <c r="C115" s="35" t="s">
        <v>5</v>
      </c>
      <c r="D115" s="42" t="str">
        <f>IFERROR(CONCATENATE(C115,". ",VLOOKUP(C115,'results, prods y acts'!$D$2:$E$12,2,FALSE)),CONCATENATE(C115,". "))</f>
        <v>P1. Asistencia técnica</v>
      </c>
      <c r="E115" s="42" t="str" cm="1">
        <f t="array" ref="E115">IFERROR(INDEX(_xlfn.TEXTSPLIT(I115,"."),2)&amp;"."&amp;INDEX(_xlfn.TEXTSPLIT(I115,"."),3),"")</f>
        <v>P1.2</v>
      </c>
      <c r="F115" s="42" t="str">
        <f>IFERROR(CONCATENATE(E115,". ",VLOOKUP(E115,'results, prods y acts'!$G$2:$H$16,2,FALSE)),"")</f>
        <v>P1.2. Acompañamiento</v>
      </c>
      <c r="G115" s="20" t="s">
        <v>4</v>
      </c>
      <c r="H115" s="20"/>
      <c r="I115" s="15" t="s">
        <v>291</v>
      </c>
      <c r="J115" s="14" t="s">
        <v>375</v>
      </c>
      <c r="K115" s="7" t="str">
        <f t="shared" si="7"/>
        <v xml:space="preserve">CB.P1.2.2. Acompañamiento a la gerencia en la actualización del monitoreo de la deforestación de ACR </v>
      </c>
      <c r="L115" s="34" t="s">
        <v>8</v>
      </c>
      <c r="M115" s="34" t="s">
        <v>9</v>
      </c>
      <c r="N115" s="33" t="s">
        <v>10</v>
      </c>
      <c r="O115" s="43" t="s">
        <v>345</v>
      </c>
      <c r="P115" s="36"/>
      <c r="Q115" s="36"/>
      <c r="R115" s="36"/>
      <c r="S115" s="36">
        <v>6</v>
      </c>
      <c r="T115" s="36">
        <v>6</v>
      </c>
      <c r="U115" s="36">
        <v>6</v>
      </c>
      <c r="V115" s="36"/>
      <c r="W115" s="36"/>
      <c r="X115" s="36"/>
      <c r="Y115" s="36"/>
      <c r="Z115" s="36"/>
      <c r="AA115" s="36"/>
      <c r="AB115" s="11">
        <f t="shared" si="10"/>
        <v>18</v>
      </c>
    </row>
    <row r="116" spans="1:28" ht="25.5" customHeight="1">
      <c r="A116" s="53" t="s">
        <v>287</v>
      </c>
      <c r="B116" s="42" t="str">
        <f>IFERROR(CONCATENATE(A116,". ",VLOOKUP(A116,'results, prods y acts'!$A$2:$B$8,2,FALSE)),"")</f>
        <v>CB. Conservación de la Biodiversidad y Lucha contra el Cambio Climático</v>
      </c>
      <c r="C116" s="35" t="s">
        <v>5</v>
      </c>
      <c r="D116" s="42" t="str">
        <f>IFERROR(CONCATENATE(C116,". ",VLOOKUP(C116,'results, prods y acts'!$D$2:$E$12,2,FALSE)),CONCATENATE(C116,". "))</f>
        <v>P1. Asistencia técnica</v>
      </c>
      <c r="E116" s="42" t="str" cm="1">
        <f t="array" ref="E116">IFERROR(INDEX(_xlfn.TEXTSPLIT(I116,"."),2)&amp;"."&amp;INDEX(_xlfn.TEXTSPLIT(I116,"."),3),"")</f>
        <v>P1.2</v>
      </c>
      <c r="F116" s="42" t="str">
        <f>IFERROR(CONCATENATE(E116,". ",VLOOKUP(E116,'results, prods y acts'!$G$2:$H$16,2,FALSE)),"")</f>
        <v>P1.2. Acompañamiento</v>
      </c>
      <c r="G116" s="20" t="s">
        <v>4</v>
      </c>
      <c r="H116" s="20"/>
      <c r="I116" s="15" t="s">
        <v>292</v>
      </c>
      <c r="J116" s="37" t="s">
        <v>376</v>
      </c>
      <c r="K116" s="7" t="str">
        <f t="shared" si="7"/>
        <v>CB.P1.2.3. Acompañamiento a la gerencia en la actualización de los estados de conservación para las ACR.</v>
      </c>
      <c r="L116" s="34" t="s">
        <v>8</v>
      </c>
      <c r="M116" s="34" t="s">
        <v>9</v>
      </c>
      <c r="N116" s="33" t="s">
        <v>10</v>
      </c>
      <c r="O116" s="43" t="s">
        <v>377</v>
      </c>
      <c r="P116" s="36"/>
      <c r="Q116" s="36"/>
      <c r="R116" s="36"/>
      <c r="S116" s="36"/>
      <c r="T116" s="36"/>
      <c r="U116" s="36">
        <v>3</v>
      </c>
      <c r="V116" s="36"/>
      <c r="W116" s="36">
        <v>6</v>
      </c>
      <c r="X116" s="36">
        <v>3</v>
      </c>
      <c r="Y116" s="36"/>
      <c r="Z116" s="36">
        <v>3</v>
      </c>
      <c r="AA116" s="36"/>
      <c r="AB116" s="11">
        <f t="shared" si="10"/>
        <v>15</v>
      </c>
    </row>
    <row r="117" spans="1:28" ht="24.75" customHeight="1">
      <c r="A117" s="53" t="s">
        <v>287</v>
      </c>
      <c r="B117" s="42" t="str">
        <f>IFERROR(CONCATENATE(A117,". ",VLOOKUP(A117,'results, prods y acts'!$A$2:$B$8,2,FALSE)),"")</f>
        <v>CB. Conservación de la Biodiversidad y Lucha contra el Cambio Climático</v>
      </c>
      <c r="C117" s="35" t="s">
        <v>5</v>
      </c>
      <c r="D117" s="42" t="str">
        <f>IFERROR(CONCATENATE(C117,". ",VLOOKUP(C117,'results, prods y acts'!$D$2:$E$12,2,FALSE)),CONCATENATE(C117,". "))</f>
        <v>P1. Asistencia técnica</v>
      </c>
      <c r="E117" s="42" t="str" cm="1">
        <f t="array" ref="E117">IFERROR(INDEX(_xlfn.TEXTSPLIT(I117,"."),2)&amp;"."&amp;INDEX(_xlfn.TEXTSPLIT(I117,"."),3),"")</f>
        <v>P1.2</v>
      </c>
      <c r="F117" s="42" t="str">
        <f>IFERROR(CONCATENATE(E117,". ",VLOOKUP(E117,'results, prods y acts'!$G$2:$H$16,2,FALSE)),"")</f>
        <v>P1.2. Acompañamiento</v>
      </c>
      <c r="G117" s="20" t="s">
        <v>4</v>
      </c>
      <c r="H117" s="20"/>
      <c r="I117" s="15" t="s">
        <v>293</v>
      </c>
      <c r="J117" s="46" t="s">
        <v>378</v>
      </c>
      <c r="K117" s="7" t="str">
        <f t="shared" si="7"/>
        <v xml:space="preserve">CB.P1.2.4. Asistencia técnica a la gerencia en el diagnóstico de necesidades RPAS </v>
      </c>
      <c r="L117" s="34" t="s">
        <v>379</v>
      </c>
      <c r="M117" s="34" t="s">
        <v>380</v>
      </c>
      <c r="N117" s="33" t="s">
        <v>10</v>
      </c>
      <c r="O117" s="43" t="s">
        <v>381</v>
      </c>
      <c r="P117" s="36"/>
      <c r="Q117" s="36"/>
      <c r="R117" s="36"/>
      <c r="S117" s="36"/>
      <c r="T117" s="36">
        <v>2</v>
      </c>
      <c r="U117" s="36"/>
      <c r="V117" s="36"/>
      <c r="W117" s="36"/>
      <c r="X117" s="36"/>
      <c r="Y117" s="36"/>
      <c r="Z117" s="36"/>
      <c r="AA117" s="36"/>
      <c r="AB117" s="11">
        <f t="shared" si="10"/>
        <v>2</v>
      </c>
    </row>
    <row r="118" spans="1:28" ht="25.5" customHeight="1">
      <c r="A118" s="53" t="s">
        <v>287</v>
      </c>
      <c r="B118" s="42" t="str">
        <f>IFERROR(CONCATENATE(A118,". ",VLOOKUP(A118,'results, prods y acts'!$A$2:$B$8,2,FALSE)),"")</f>
        <v>CB. Conservación de la Biodiversidad y Lucha contra el Cambio Climático</v>
      </c>
      <c r="C118" s="35" t="s">
        <v>5</v>
      </c>
      <c r="D118" s="42" t="str">
        <f>IFERROR(CONCATENATE(C118,". ",VLOOKUP(C118,'results, prods y acts'!$D$2:$E$12,2,FALSE)),CONCATENATE(C118,". "))</f>
        <v>P1. Asistencia técnica</v>
      </c>
      <c r="E118" s="42" t="str" cm="1">
        <f t="array" ref="E118">IFERROR(INDEX(_xlfn.TEXTSPLIT(I118,"."),2)&amp;"."&amp;INDEX(_xlfn.TEXTSPLIT(I118,"."),3),"")</f>
        <v>P1.2</v>
      </c>
      <c r="F118" s="42" t="str">
        <f>IFERROR(CONCATENATE(E118,". ",VLOOKUP(E118,'results, prods y acts'!$G$2:$H$16,2,FALSE)),"")</f>
        <v>P1.2. Acompañamiento</v>
      </c>
      <c r="G118" s="20" t="s">
        <v>4</v>
      </c>
      <c r="H118" s="20"/>
      <c r="I118" s="15" t="s">
        <v>294</v>
      </c>
      <c r="J118" s="8" t="s">
        <v>382</v>
      </c>
      <c r="K118" s="7" t="str">
        <f t="shared" si="7"/>
        <v>CB.P1.2.5. Asistencia técnica a la gerencia para el uso de RPAS en GSN</v>
      </c>
      <c r="L118" s="36" t="s">
        <v>383</v>
      </c>
      <c r="M118" s="36" t="s">
        <v>6</v>
      </c>
      <c r="N118" s="33" t="s">
        <v>10</v>
      </c>
      <c r="O118" s="43" t="s">
        <v>384</v>
      </c>
      <c r="P118" s="36"/>
      <c r="Q118" s="36"/>
      <c r="R118" s="36"/>
      <c r="S118" s="36"/>
      <c r="T118" s="36">
        <v>2</v>
      </c>
      <c r="U118" s="36"/>
      <c r="V118" s="36">
        <v>1</v>
      </c>
      <c r="W118" s="36"/>
      <c r="X118" s="36"/>
      <c r="Y118" s="36"/>
      <c r="Z118" s="36"/>
      <c r="AA118" s="36"/>
      <c r="AB118" s="11">
        <f t="shared" si="10"/>
        <v>3</v>
      </c>
    </row>
    <row r="119" spans="1:28" ht="25.5" customHeight="1">
      <c r="A119" s="53" t="s">
        <v>287</v>
      </c>
      <c r="B119" s="42" t="str">
        <f>IFERROR(CONCATENATE(A119,". ",VLOOKUP(A119,'results, prods y acts'!$A$2:$B$8,2,FALSE)),"")</f>
        <v>CB. Conservación de la Biodiversidad y Lucha contra el Cambio Climático</v>
      </c>
      <c r="C119" s="35" t="s">
        <v>5</v>
      </c>
      <c r="D119" s="42" t="str">
        <f>IFERROR(CONCATENATE(C119,". ",VLOOKUP(C119,'results, prods y acts'!$D$2:$E$12,2,FALSE)),CONCATENATE(C119,". "))</f>
        <v>P1. Asistencia técnica</v>
      </c>
      <c r="E119" s="42" t="str" cm="1">
        <f t="array" ref="E119">IFERROR(INDEX(_xlfn.TEXTSPLIT(I119,"."),2)&amp;"."&amp;INDEX(_xlfn.TEXTSPLIT(I119,"."),3),"")</f>
        <v>P1.2</v>
      </c>
      <c r="F119" s="42" t="str">
        <f>IFERROR(CONCATENATE(E119,". ",VLOOKUP(E119,'results, prods y acts'!$G$2:$H$16,2,FALSE)),"")</f>
        <v>P1.2. Acompañamiento</v>
      </c>
      <c r="G119" s="20" t="s">
        <v>4</v>
      </c>
      <c r="H119" s="20"/>
      <c r="I119" s="15" t="s">
        <v>385</v>
      </c>
      <c r="J119" s="8" t="s">
        <v>392</v>
      </c>
      <c r="K119" s="7" t="str">
        <f t="shared" si="7"/>
        <v>CB.P1.2.6. Asistencia técnica a la gerencia para la actualización del modelo de datos SMART en ACR</v>
      </c>
      <c r="L119" s="36" t="s">
        <v>383</v>
      </c>
      <c r="M119" s="36" t="s">
        <v>6</v>
      </c>
      <c r="N119" s="33" t="s">
        <v>10</v>
      </c>
      <c r="O119" s="43" t="s">
        <v>398</v>
      </c>
      <c r="P119" s="36"/>
      <c r="Q119" s="36"/>
      <c r="R119" s="36"/>
      <c r="S119" s="36">
        <v>1</v>
      </c>
      <c r="T119" s="36">
        <v>1</v>
      </c>
      <c r="U119" s="36">
        <v>1</v>
      </c>
      <c r="V119" s="36"/>
      <c r="W119" s="36"/>
      <c r="X119" s="36"/>
      <c r="Y119" s="36"/>
      <c r="Z119" s="36"/>
      <c r="AA119" s="36"/>
      <c r="AB119" s="11">
        <f t="shared" ref="AB119:AB125" si="11">SUM(P119:AA119)</f>
        <v>3</v>
      </c>
    </row>
    <row r="120" spans="1:28" ht="25.5" customHeight="1">
      <c r="A120" s="53" t="s">
        <v>287</v>
      </c>
      <c r="B120" s="42" t="str">
        <f>IFERROR(CONCATENATE(A120,". ",VLOOKUP(A120,'results, prods y acts'!$A$2:$B$8,2,FALSE)),"")</f>
        <v>CB. Conservación de la Biodiversidad y Lucha contra el Cambio Climático</v>
      </c>
      <c r="C120" s="35" t="s">
        <v>5</v>
      </c>
      <c r="D120" s="42" t="str">
        <f>IFERROR(CONCATENATE(C120,". ",VLOOKUP(C120,'results, prods y acts'!$D$2:$E$12,2,FALSE)),CONCATENATE(C120,". "))</f>
        <v>P1. Asistencia técnica</v>
      </c>
      <c r="E120" s="42" t="str" cm="1">
        <f t="array" ref="E120">IFERROR(INDEX(_xlfn.TEXTSPLIT(I120,"."),2)&amp;"."&amp;INDEX(_xlfn.TEXTSPLIT(I120,"."),3),"")</f>
        <v>P1.2</v>
      </c>
      <c r="F120" s="42" t="str">
        <f>IFERROR(CONCATENATE(E120,". ",VLOOKUP(E120,'results, prods y acts'!$G$2:$H$16,2,FALSE)),"")</f>
        <v>P1.2. Acompañamiento</v>
      </c>
      <c r="G120" s="20" t="s">
        <v>4</v>
      </c>
      <c r="H120" s="20"/>
      <c r="I120" s="15" t="s">
        <v>386</v>
      </c>
      <c r="J120" s="8" t="s">
        <v>393</v>
      </c>
      <c r="K120" s="7" t="str">
        <f t="shared" si="7"/>
        <v>CB.P1.2.7. Acompañamiento a jefaturas en capacitaciones a organizaciones locales de vigilancia/ comites de vigilancia / y otros actores comunitarios</v>
      </c>
      <c r="L120" s="34" t="s">
        <v>8</v>
      </c>
      <c r="M120" s="34" t="s">
        <v>9</v>
      </c>
      <c r="N120" s="33" t="s">
        <v>10</v>
      </c>
      <c r="O120" s="43" t="s">
        <v>399</v>
      </c>
      <c r="P120" s="36"/>
      <c r="Q120" s="36"/>
      <c r="R120" s="36"/>
      <c r="S120" s="36">
        <v>1</v>
      </c>
      <c r="T120" s="36">
        <v>1</v>
      </c>
      <c r="U120" s="36">
        <v>1</v>
      </c>
      <c r="V120" s="36">
        <v>1</v>
      </c>
      <c r="W120" s="36">
        <v>1</v>
      </c>
      <c r="X120" s="36">
        <v>1</v>
      </c>
      <c r="Y120" s="36">
        <v>1</v>
      </c>
      <c r="Z120" s="36">
        <v>1</v>
      </c>
      <c r="AA120" s="36"/>
      <c r="AB120" s="11">
        <f t="shared" si="11"/>
        <v>8</v>
      </c>
    </row>
    <row r="121" spans="1:28" ht="25.5" customHeight="1">
      <c r="A121" s="53" t="s">
        <v>287</v>
      </c>
      <c r="B121" s="42" t="str">
        <f>IFERROR(CONCATENATE(A121,". ",VLOOKUP(A121,'results, prods y acts'!$A$2:$B$8,2,FALSE)),"")</f>
        <v>CB. Conservación de la Biodiversidad y Lucha contra el Cambio Climático</v>
      </c>
      <c r="C121" s="35" t="s">
        <v>5</v>
      </c>
      <c r="D121" s="42" t="str">
        <f>IFERROR(CONCATENATE(C121,". ",VLOOKUP(C121,'results, prods y acts'!$D$2:$E$12,2,FALSE)),CONCATENATE(C121,". "))</f>
        <v>P1. Asistencia técnica</v>
      </c>
      <c r="E121" s="42" t="str" cm="1">
        <f t="array" ref="E121">IFERROR(INDEX(_xlfn.TEXTSPLIT(I121,"."),2)&amp;"."&amp;INDEX(_xlfn.TEXTSPLIT(I121,"."),3),"")</f>
        <v>P1.2</v>
      </c>
      <c r="F121" s="42" t="str">
        <f>IFERROR(CONCATENATE(E121,". ",VLOOKUP(E121,'results, prods y acts'!$G$2:$H$16,2,FALSE)),"")</f>
        <v>P1.2. Acompañamiento</v>
      </c>
      <c r="G121" s="20" t="s">
        <v>4</v>
      </c>
      <c r="H121" s="20"/>
      <c r="I121" s="15" t="s">
        <v>387</v>
      </c>
      <c r="J121" s="8" t="s">
        <v>394</v>
      </c>
      <c r="K121" s="7" t="str">
        <f t="shared" si="7"/>
        <v>CB.P1.2.8. Asistencia técnica en monitoreo remoto a las FEMA</v>
      </c>
      <c r="L121" s="36" t="s">
        <v>383</v>
      </c>
      <c r="M121" s="36" t="s">
        <v>6</v>
      </c>
      <c r="N121" s="33" t="s">
        <v>10</v>
      </c>
      <c r="O121" s="43" t="s">
        <v>400</v>
      </c>
      <c r="P121" s="36"/>
      <c r="Q121" s="36">
        <v>1</v>
      </c>
      <c r="R121" s="36">
        <v>1</v>
      </c>
      <c r="S121" s="36"/>
      <c r="T121" s="36"/>
      <c r="U121" s="36"/>
      <c r="V121" s="36">
        <v>1</v>
      </c>
      <c r="W121" s="36"/>
      <c r="X121" s="36"/>
      <c r="Y121" s="36">
        <v>2</v>
      </c>
      <c r="Z121" s="36"/>
      <c r="AA121" s="36"/>
      <c r="AB121" s="11">
        <f t="shared" si="11"/>
        <v>5</v>
      </c>
    </row>
    <row r="122" spans="1:28" ht="25.5" customHeight="1">
      <c r="A122" s="53" t="s">
        <v>287</v>
      </c>
      <c r="B122" s="42" t="str">
        <f>IFERROR(CONCATENATE(A122,". ",VLOOKUP(A122,'results, prods y acts'!$A$2:$B$8,2,FALSE)),"")</f>
        <v>CB. Conservación de la Biodiversidad y Lucha contra el Cambio Climático</v>
      </c>
      <c r="C122" s="35" t="s">
        <v>5</v>
      </c>
      <c r="D122" s="42" t="str">
        <f>IFERROR(CONCATENATE(C122,". ",VLOOKUP(C122,'results, prods y acts'!$D$2:$E$12,2,FALSE)),CONCATENATE(C122,". "))</f>
        <v>P1. Asistencia técnica</v>
      </c>
      <c r="E122" s="42" t="str" cm="1">
        <f t="array" ref="E122">IFERROR(INDEX(_xlfn.TEXTSPLIT(I122,"."),2)&amp;"."&amp;INDEX(_xlfn.TEXTSPLIT(I122,"."),3),"")</f>
        <v>P1.2</v>
      </c>
      <c r="F122" s="42" t="str">
        <f>IFERROR(CONCATENATE(E122,". ",VLOOKUP(E122,'results, prods y acts'!$G$2:$H$16,2,FALSE)),"")</f>
        <v>P1.2. Acompañamiento</v>
      </c>
      <c r="G122" s="20" t="s">
        <v>4</v>
      </c>
      <c r="H122" s="20"/>
      <c r="I122" s="15" t="s">
        <v>388</v>
      </c>
      <c r="J122" s="8" t="s">
        <v>395</v>
      </c>
      <c r="K122" s="7" t="str">
        <f t="shared" si="7"/>
        <v>CB.P1.2.9. Acompañamiento a las jefaturas en la validación de los mapas de actores</v>
      </c>
      <c r="L122" s="34" t="s">
        <v>8</v>
      </c>
      <c r="M122" s="34" t="s">
        <v>9</v>
      </c>
      <c r="N122" s="33" t="s">
        <v>10</v>
      </c>
      <c r="O122" s="43" t="s">
        <v>401</v>
      </c>
      <c r="P122" s="36"/>
      <c r="Q122" s="36"/>
      <c r="R122" s="36"/>
      <c r="S122" s="36"/>
      <c r="T122" s="36"/>
      <c r="U122" s="36"/>
      <c r="V122" s="36"/>
      <c r="W122" s="36"/>
      <c r="X122" s="36"/>
      <c r="Y122" s="36">
        <v>2</v>
      </c>
      <c r="Z122" s="36">
        <v>2</v>
      </c>
      <c r="AA122" s="36">
        <v>2</v>
      </c>
      <c r="AB122" s="11">
        <f t="shared" si="11"/>
        <v>6</v>
      </c>
    </row>
    <row r="123" spans="1:28" ht="25.5" customHeight="1">
      <c r="A123" s="53" t="s">
        <v>287</v>
      </c>
      <c r="B123" s="42" t="str">
        <f>IFERROR(CONCATENATE(A123,". ",VLOOKUP(A123,'results, prods y acts'!$A$2:$B$8,2,FALSE)),"")</f>
        <v>CB. Conservación de la Biodiversidad y Lucha contra el Cambio Climático</v>
      </c>
      <c r="C123" s="35" t="s">
        <v>5</v>
      </c>
      <c r="D123" s="42" t="str">
        <f>IFERROR(CONCATENATE(C123,". ",VLOOKUP(C123,'results, prods y acts'!$D$2:$E$12,2,FALSE)),CONCATENATE(C123,". "))</f>
        <v>P1. Asistencia técnica</v>
      </c>
      <c r="E123" s="42" t="str" cm="1">
        <f t="array" ref="E123">IFERROR(INDEX(_xlfn.TEXTSPLIT(I123,"."),2)&amp;"."&amp;INDEX(_xlfn.TEXTSPLIT(I123,"."),3),"")</f>
        <v>P1.2</v>
      </c>
      <c r="F123" s="42" t="str">
        <f>IFERROR(CONCATENATE(E123,". ",VLOOKUP(E123,'results, prods y acts'!$G$2:$H$16,2,FALSE)),"")</f>
        <v>P1.2. Acompañamiento</v>
      </c>
      <c r="G123" s="20" t="s">
        <v>4</v>
      </c>
      <c r="H123" s="20"/>
      <c r="I123" s="15" t="s">
        <v>389</v>
      </c>
      <c r="J123" s="8" t="s">
        <v>500</v>
      </c>
      <c r="K123" s="7" t="str">
        <f t="shared" si="7"/>
        <v>CB.P1.2.10. Acompañamiento a la jefatura en el diseño y seguimiento de los Acuerdos de Conservación (AdC)</v>
      </c>
      <c r="L123" s="34" t="s">
        <v>8</v>
      </c>
      <c r="M123" s="34" t="s">
        <v>9</v>
      </c>
      <c r="N123" s="33" t="s">
        <v>10</v>
      </c>
      <c r="O123" s="43" t="s">
        <v>402</v>
      </c>
      <c r="P123" s="36"/>
      <c r="Q123" s="36"/>
      <c r="R123" s="36"/>
      <c r="S123" s="36"/>
      <c r="T123" s="36"/>
      <c r="U123" s="36">
        <v>4</v>
      </c>
      <c r="V123" s="36"/>
      <c r="W123" s="36"/>
      <c r="X123" s="36"/>
      <c r="Y123" s="36"/>
      <c r="Z123" s="36">
        <v>4</v>
      </c>
      <c r="AA123" s="36"/>
      <c r="AB123" s="11">
        <f t="shared" si="11"/>
        <v>8</v>
      </c>
    </row>
    <row r="124" spans="1:28" ht="25.5" customHeight="1">
      <c r="A124" s="53" t="s">
        <v>287</v>
      </c>
      <c r="B124" s="42" t="str">
        <f>IFERROR(CONCATENATE(A124,". ",VLOOKUP(A124,'results, prods y acts'!$A$2:$B$8,2,FALSE)),"")</f>
        <v>CB. Conservación de la Biodiversidad y Lucha contra el Cambio Climático</v>
      </c>
      <c r="C124" s="35" t="s">
        <v>5</v>
      </c>
      <c r="D124" s="42" t="str">
        <f>IFERROR(CONCATENATE(C124,". ",VLOOKUP(C124,'results, prods y acts'!$D$2:$E$12,2,FALSE)),CONCATENATE(C124,". "))</f>
        <v>P1. Asistencia técnica</v>
      </c>
      <c r="E124" s="42" t="str" cm="1">
        <f t="array" ref="E124">IFERROR(INDEX(_xlfn.TEXTSPLIT(I124,"."),2)&amp;"."&amp;INDEX(_xlfn.TEXTSPLIT(I124,"."),3),"")</f>
        <v>P1.2</v>
      </c>
      <c r="F124" s="42" t="str">
        <f>IFERROR(CONCATENATE(E124,". ",VLOOKUP(E124,'results, prods y acts'!$G$2:$H$16,2,FALSE)),"")</f>
        <v>P1.2. Acompañamiento</v>
      </c>
      <c r="G124" s="20" t="s">
        <v>4</v>
      </c>
      <c r="H124" s="20"/>
      <c r="I124" s="15" t="s">
        <v>390</v>
      </c>
      <c r="J124" s="8" t="s">
        <v>396</v>
      </c>
      <c r="K124" s="7" t="str">
        <f t="shared" si="7"/>
        <v>CB.P1.2.11. Acompañamiento a la jefatura en el monitoreo de los AdC (analisis de cambio de cobertura y deforestación)</v>
      </c>
      <c r="L124" s="34" t="s">
        <v>8</v>
      </c>
      <c r="M124" s="34" t="s">
        <v>9</v>
      </c>
      <c r="N124" s="33" t="s">
        <v>10</v>
      </c>
      <c r="O124" s="43" t="s">
        <v>403</v>
      </c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>
        <v>4</v>
      </c>
      <c r="AA124" s="36"/>
      <c r="AB124" s="11">
        <f t="shared" si="11"/>
        <v>4</v>
      </c>
    </row>
    <row r="125" spans="1:28" ht="25.5" customHeight="1">
      <c r="A125" s="53" t="s">
        <v>287</v>
      </c>
      <c r="B125" s="42" t="str">
        <f>IFERROR(CONCATENATE(A125,". ",VLOOKUP(A125,'results, prods y acts'!$A$2:$B$8,2,FALSE)),"")</f>
        <v>CB. Conservación de la Biodiversidad y Lucha contra el Cambio Climático</v>
      </c>
      <c r="C125" s="35" t="s">
        <v>5</v>
      </c>
      <c r="D125" s="42" t="str">
        <f>IFERROR(CONCATENATE(C125,". ",VLOOKUP(C125,'results, prods y acts'!$D$2:$E$12,2,FALSE)),CONCATENATE(C125,". "))</f>
        <v>P1. Asistencia técnica</v>
      </c>
      <c r="E125" s="42" t="str" cm="1">
        <f t="array" ref="E125">IFERROR(INDEX(_xlfn.TEXTSPLIT(I125,"."),2)&amp;"."&amp;INDEX(_xlfn.TEXTSPLIT(I125,"."),3),"")</f>
        <v>P1.2</v>
      </c>
      <c r="F125" s="42" t="str">
        <f>IFERROR(CONCATENATE(E125,". ",VLOOKUP(E125,'results, prods y acts'!$G$2:$H$16,2,FALSE)),"")</f>
        <v>P1.2. Acompañamiento</v>
      </c>
      <c r="G125" s="20" t="s">
        <v>4</v>
      </c>
      <c r="H125" s="20"/>
      <c r="I125" s="15" t="s">
        <v>391</v>
      </c>
      <c r="J125" s="8" t="s">
        <v>397</v>
      </c>
      <c r="K125" s="7" t="str">
        <f t="shared" si="7"/>
        <v>CB.P1.2.12. Acompañamiento en el diseño de los MERESE</v>
      </c>
      <c r="L125" s="34" t="s">
        <v>8</v>
      </c>
      <c r="M125" s="34" t="s">
        <v>9</v>
      </c>
      <c r="N125" s="33" t="s">
        <v>10</v>
      </c>
      <c r="O125" s="43" t="s">
        <v>404</v>
      </c>
      <c r="P125" s="36"/>
      <c r="Q125" s="36"/>
      <c r="R125" s="36">
        <v>2</v>
      </c>
      <c r="S125" s="36"/>
      <c r="T125" s="36"/>
      <c r="U125" s="36"/>
      <c r="V125" s="36"/>
      <c r="W125" s="36">
        <v>2</v>
      </c>
      <c r="X125" s="36"/>
      <c r="Y125" s="36"/>
      <c r="Z125" s="36">
        <v>2</v>
      </c>
      <c r="AA125" s="36"/>
      <c r="AB125" s="11">
        <f t="shared" si="11"/>
        <v>6</v>
      </c>
    </row>
    <row r="126" spans="1:28" ht="21.9" customHeight="1">
      <c r="A126" s="53" t="s">
        <v>287</v>
      </c>
      <c r="B126" s="42" t="str">
        <f>IFERROR(CONCATENATE(A126,". ",VLOOKUP(A126,'results, prods y acts'!$A$2:$B$8,2,FALSE)),"")</f>
        <v>CB. Conservación de la Biodiversidad y Lucha contra el Cambio Climático</v>
      </c>
      <c r="C126" s="35" t="s">
        <v>5</v>
      </c>
      <c r="D126" s="42" t="str">
        <f>IFERROR(CONCATENATE(C126,". ",VLOOKUP(C126,'results, prods y acts'!$D$2:$E$12,2,FALSE)),CONCATENATE(C126,". "))</f>
        <v>P1. Asistencia técnica</v>
      </c>
      <c r="E126" s="42" t="str" cm="1">
        <f t="array" ref="E126">IFERROR(INDEX(_xlfn.TEXTSPLIT(I126,"."),2)&amp;"."&amp;INDEX(_xlfn.TEXTSPLIT(I126,"."),3),"")</f>
        <v>P1.3</v>
      </c>
      <c r="F126" s="42" t="str">
        <f>IFERROR(CONCATENATE(E126,". ",VLOOKUP(E126,'results, prods y acts'!$G$2:$H$16,2,FALSE)),"")</f>
        <v>P1.3. Reuniones de retroalimentación</v>
      </c>
      <c r="G126" s="20" t="s">
        <v>4</v>
      </c>
      <c r="H126" s="20"/>
      <c r="I126" s="15" t="s">
        <v>295</v>
      </c>
      <c r="J126" s="38" t="s">
        <v>296</v>
      </c>
      <c r="K126" s="7" t="str">
        <f t="shared" si="7"/>
        <v>CB.P1.3.1. Reuniones retroalimentación para el seguimiento de la ejecución</v>
      </c>
      <c r="L126" s="36" t="s">
        <v>116</v>
      </c>
      <c r="M126" s="36" t="s">
        <v>338</v>
      </c>
      <c r="N126" s="33" t="s">
        <v>10</v>
      </c>
      <c r="O126" s="43" t="s">
        <v>346</v>
      </c>
      <c r="P126" s="36"/>
      <c r="Q126" s="36"/>
      <c r="R126" s="36"/>
      <c r="S126" s="36"/>
      <c r="T126" s="36"/>
      <c r="U126" s="36">
        <v>3</v>
      </c>
      <c r="V126" s="36"/>
      <c r="W126" s="36"/>
      <c r="X126" s="36"/>
      <c r="Y126" s="36"/>
      <c r="Z126" s="36">
        <v>3</v>
      </c>
      <c r="AA126" s="36"/>
      <c r="AB126" s="11">
        <f t="shared" si="10"/>
        <v>6</v>
      </c>
    </row>
    <row r="127" spans="1:28" ht="21.9" customHeight="1">
      <c r="A127" s="53" t="s">
        <v>287</v>
      </c>
      <c r="B127" s="42" t="str">
        <f>IFERROR(CONCATENATE(A127,". ",VLOOKUP(A127,'results, prods y acts'!$A$2:$B$8,2,FALSE)),"")</f>
        <v>CB. Conservación de la Biodiversidad y Lucha contra el Cambio Climático</v>
      </c>
      <c r="C127" s="39" t="s">
        <v>37</v>
      </c>
      <c r="D127" s="42" t="str">
        <f>IFERROR(CONCATENATE(C127,". ",VLOOKUP(C127,'results, prods y acts'!$D$2:$E$12,2,FALSE)),CONCATENATE(C127,". "))</f>
        <v>P2. Fortalecimiento de capacidades</v>
      </c>
      <c r="E127" s="42" t="str" cm="1">
        <f t="array" ref="E127">IFERROR(INDEX(_xlfn.TEXTSPLIT(I127,"."),2)&amp;"."&amp;INDEX(_xlfn.TEXTSPLIT(I127,"."),3),"")</f>
        <v>P2.1</v>
      </c>
      <c r="F127" s="42" t="str">
        <f>IFERROR(CONCATENATE(E127,". ",VLOOKUP(E127,'results, prods y acts'!$G$2:$H$16,2,FALSE)),"")</f>
        <v>P2.1. Cursos</v>
      </c>
      <c r="G127" s="20" t="s">
        <v>4</v>
      </c>
      <c r="H127" s="20"/>
      <c r="I127" s="15" t="s">
        <v>297</v>
      </c>
      <c r="J127" s="8" t="s">
        <v>405</v>
      </c>
      <c r="K127" s="7" t="str">
        <f t="shared" si="7"/>
        <v>CB.P2.1.1. Curso de uso de la herramienta SMART (con acreditación)   en alianza con Red de ACR /AAF</v>
      </c>
      <c r="L127" s="34" t="s">
        <v>81</v>
      </c>
      <c r="M127" s="34" t="s">
        <v>52</v>
      </c>
      <c r="N127" s="33" t="s">
        <v>417</v>
      </c>
      <c r="O127" s="7" t="s">
        <v>347</v>
      </c>
      <c r="P127" s="36"/>
      <c r="Q127" s="36"/>
      <c r="R127" s="36"/>
      <c r="S127" s="36"/>
      <c r="T127" s="36"/>
      <c r="U127" s="36"/>
      <c r="V127" s="36"/>
      <c r="W127" s="36">
        <v>1</v>
      </c>
      <c r="X127" s="36">
        <v>1</v>
      </c>
      <c r="Y127" s="36"/>
      <c r="Z127" s="36"/>
      <c r="AA127" s="36"/>
      <c r="AB127" s="11">
        <f t="shared" ref="AB127:AB134" si="12">SUM(P127:AA127)</f>
        <v>2</v>
      </c>
    </row>
    <row r="128" spans="1:28" ht="21.9" customHeight="1">
      <c r="A128" s="53" t="s">
        <v>287</v>
      </c>
      <c r="B128" s="42" t="str">
        <f>IFERROR(CONCATENATE(A128,". ",VLOOKUP(A128,'results, prods y acts'!$A$2:$B$8,2,FALSE)),"")</f>
        <v>CB. Conservación de la Biodiversidad y Lucha contra el Cambio Climático</v>
      </c>
      <c r="C128" s="39" t="s">
        <v>37</v>
      </c>
      <c r="D128" s="42" t="str">
        <f>IFERROR(CONCATENATE(C128,". ",VLOOKUP(C128,'results, prods y acts'!$D$2:$E$12,2,FALSE)),CONCATENATE(C128,". "))</f>
        <v>P2. Fortalecimiento de capacidades</v>
      </c>
      <c r="E128" s="42" t="str" cm="1">
        <f t="array" ref="E128">IFERROR(INDEX(_xlfn.TEXTSPLIT(I128,"."),2)&amp;"."&amp;INDEX(_xlfn.TEXTSPLIT(I128,"."),3),"")</f>
        <v>P2.1</v>
      </c>
      <c r="F128" s="42" t="str">
        <f>IFERROR(CONCATENATE(E128,". ",VLOOKUP(E128,'results, prods y acts'!$G$2:$H$16,2,FALSE)),"")</f>
        <v>P2.1. Cursos</v>
      </c>
      <c r="G128" s="20" t="s">
        <v>4</v>
      </c>
      <c r="H128" s="20"/>
      <c r="I128" s="15" t="s">
        <v>298</v>
      </c>
      <c r="J128" s="8" t="s">
        <v>406</v>
      </c>
      <c r="K128" s="7" t="str">
        <f t="shared" si="7"/>
        <v>CB.P2.1.2. Curso de uso de drones (con acreditación)</v>
      </c>
      <c r="L128" s="34" t="s">
        <v>81</v>
      </c>
      <c r="M128" s="34" t="s">
        <v>52</v>
      </c>
      <c r="N128" s="33" t="s">
        <v>417</v>
      </c>
      <c r="O128" s="7" t="s">
        <v>347</v>
      </c>
      <c r="P128" s="36"/>
      <c r="Q128" s="36"/>
      <c r="R128" s="36"/>
      <c r="S128" s="36"/>
      <c r="T128" s="36"/>
      <c r="U128" s="36"/>
      <c r="V128" s="36">
        <v>1</v>
      </c>
      <c r="W128" s="36">
        <v>1</v>
      </c>
      <c r="X128" s="36"/>
      <c r="Y128" s="36"/>
      <c r="Z128" s="36"/>
      <c r="AA128" s="36"/>
      <c r="AB128" s="11">
        <f t="shared" si="12"/>
        <v>2</v>
      </c>
    </row>
    <row r="129" spans="1:28" ht="21.9" customHeight="1">
      <c r="A129" s="53" t="s">
        <v>287</v>
      </c>
      <c r="B129" s="42" t="str">
        <f>IFERROR(CONCATENATE(A129,". ",VLOOKUP(A129,'results, prods y acts'!$A$2:$B$8,2,FALSE)),"")</f>
        <v>CB. Conservación de la Biodiversidad y Lucha contra el Cambio Climático</v>
      </c>
      <c r="C129" s="39" t="s">
        <v>37</v>
      </c>
      <c r="D129" s="42" t="str">
        <f>IFERROR(CONCATENATE(C129,". ",VLOOKUP(C129,'results, prods y acts'!$D$2:$E$12,2,FALSE)),CONCATENATE(C129,". "))</f>
        <v>P2. Fortalecimiento de capacidades</v>
      </c>
      <c r="E129" s="42" t="str" cm="1">
        <f t="array" ref="E129">IFERROR(INDEX(_xlfn.TEXTSPLIT(I129,"."),2)&amp;"."&amp;INDEX(_xlfn.TEXTSPLIT(I129,"."),3),"")</f>
        <v>P2.1</v>
      </c>
      <c r="F129" s="42" t="str">
        <f>IFERROR(CONCATENATE(E129,". ",VLOOKUP(E129,'results, prods y acts'!$G$2:$H$16,2,FALSE)),"")</f>
        <v>P2.1. Cursos</v>
      </c>
      <c r="G129" s="20" t="s">
        <v>4</v>
      </c>
      <c r="H129" s="20"/>
      <c r="I129" s="15" t="s">
        <v>407</v>
      </c>
      <c r="J129" s="8" t="s">
        <v>408</v>
      </c>
      <c r="K129" s="7" t="str">
        <f t="shared" si="7"/>
        <v>CB.P2.1.3. Curso de Formación de Formadores en PIF (con acreditación)-  en alianza con Red de ACR /AAF</v>
      </c>
      <c r="L129" s="34" t="s">
        <v>81</v>
      </c>
      <c r="M129" s="34" t="s">
        <v>52</v>
      </c>
      <c r="N129" s="33" t="s">
        <v>417</v>
      </c>
      <c r="O129" s="7" t="s">
        <v>418</v>
      </c>
      <c r="P129" s="36"/>
      <c r="Q129" s="36"/>
      <c r="R129" s="36"/>
      <c r="S129" s="36"/>
      <c r="T129" s="36">
        <v>1</v>
      </c>
      <c r="U129" s="36"/>
      <c r="V129" s="36"/>
      <c r="W129" s="36"/>
      <c r="X129" s="36"/>
      <c r="Y129" s="36"/>
      <c r="Z129" s="36"/>
      <c r="AA129" s="36"/>
      <c r="AB129" s="11">
        <f t="shared" si="12"/>
        <v>1</v>
      </c>
    </row>
    <row r="130" spans="1:28" ht="21.9" customHeight="1">
      <c r="A130" s="53" t="s">
        <v>287</v>
      </c>
      <c r="B130" s="42" t="str">
        <f>IFERROR(CONCATENATE(A130,". ",VLOOKUP(A130,'results, prods y acts'!$A$2:$B$8,2,FALSE)),"")</f>
        <v>CB. Conservación de la Biodiversidad y Lucha contra el Cambio Climático</v>
      </c>
      <c r="C130" s="39" t="s">
        <v>37</v>
      </c>
      <c r="D130" s="42" t="str">
        <f>IFERROR(CONCATENATE(C130,". ",VLOOKUP(C130,'results, prods y acts'!$D$2:$E$12,2,FALSE)),CONCATENATE(C130,". "))</f>
        <v>P2. Fortalecimiento de capacidades</v>
      </c>
      <c r="E130" s="42" t="str" cm="1">
        <f t="array" ref="E130">IFERROR(INDEX(_xlfn.TEXTSPLIT(I130,"."),2)&amp;"."&amp;INDEX(_xlfn.TEXTSPLIT(I130,"."),3),"")</f>
        <v>P2.1</v>
      </c>
      <c r="F130" s="42" t="str">
        <f>IFERROR(CONCATENATE(E130,". ",VLOOKUP(E130,'results, prods y acts'!$G$2:$H$16,2,FALSE)),"")</f>
        <v>P2.1. Cursos</v>
      </c>
      <c r="G130" s="20" t="s">
        <v>4</v>
      </c>
      <c r="H130" s="20"/>
      <c r="I130" s="15" t="s">
        <v>409</v>
      </c>
      <c r="J130" s="8" t="s">
        <v>410</v>
      </c>
      <c r="K130" s="7" t="str">
        <f t="shared" si="7"/>
        <v>CB.P2.1.4. Curso de monitoreo de bosques con herramientas de teledetección</v>
      </c>
      <c r="L130" s="34" t="s">
        <v>81</v>
      </c>
      <c r="M130" s="34" t="s">
        <v>52</v>
      </c>
      <c r="N130" s="33" t="s">
        <v>417</v>
      </c>
      <c r="O130" s="7" t="s">
        <v>347</v>
      </c>
      <c r="P130" s="36"/>
      <c r="Q130" s="36"/>
      <c r="R130" s="36"/>
      <c r="S130" s="36"/>
      <c r="T130" s="36">
        <v>1</v>
      </c>
      <c r="U130" s="36"/>
      <c r="V130" s="36"/>
      <c r="W130" s="36"/>
      <c r="X130" s="36"/>
      <c r="Y130" s="36"/>
      <c r="Z130" s="36"/>
      <c r="AA130" s="36"/>
      <c r="AB130" s="11">
        <f t="shared" si="12"/>
        <v>1</v>
      </c>
    </row>
    <row r="131" spans="1:28" ht="21.9" customHeight="1">
      <c r="A131" s="53" t="s">
        <v>287</v>
      </c>
      <c r="B131" s="42" t="str">
        <f>IFERROR(CONCATENATE(A131,". ",VLOOKUP(A131,'results, prods y acts'!$A$2:$B$8,2,FALSE)),"")</f>
        <v>CB. Conservación de la Biodiversidad y Lucha contra el Cambio Climático</v>
      </c>
      <c r="C131" s="39" t="s">
        <v>37</v>
      </c>
      <c r="D131" s="42" t="str">
        <f>IFERROR(CONCATENATE(C131,". ",VLOOKUP(C131,'results, prods y acts'!$D$2:$E$12,2,FALSE)),CONCATENATE(C131,". "))</f>
        <v>P2. Fortalecimiento de capacidades</v>
      </c>
      <c r="E131" s="42" t="str" cm="1">
        <f t="array" ref="E131">IFERROR(INDEX(_xlfn.TEXTSPLIT(I131,"."),2)&amp;"."&amp;INDEX(_xlfn.TEXTSPLIT(I131,"."),3),"")</f>
        <v>P2.5</v>
      </c>
      <c r="F131" s="42" t="str">
        <f>IFERROR(CONCATENATE(E131,". ",VLOOKUP(E131,'results, prods y acts'!$G$2:$H$16,2,FALSE)),"")</f>
        <v>P2.5. Charla</v>
      </c>
      <c r="G131" s="20" t="s">
        <v>4</v>
      </c>
      <c r="H131" s="20"/>
      <c r="I131" s="15" t="s">
        <v>299</v>
      </c>
      <c r="J131" s="8" t="s">
        <v>411</v>
      </c>
      <c r="K131" s="7" t="str">
        <f t="shared" ref="K131:K149" si="13">CONCATENATE(I131,". ",J131)</f>
        <v>CB.P2.5.1. Charlas sobre gestión participativa (AdC y SIMSAC)</v>
      </c>
      <c r="L131" s="34" t="s">
        <v>35</v>
      </c>
      <c r="M131" s="34" t="s">
        <v>339</v>
      </c>
      <c r="N131" s="33" t="s">
        <v>419</v>
      </c>
      <c r="O131" s="7" t="s">
        <v>420</v>
      </c>
      <c r="P131" s="36"/>
      <c r="Q131" s="36">
        <v>1</v>
      </c>
      <c r="R131" s="36">
        <v>1</v>
      </c>
      <c r="S131" s="36"/>
      <c r="T131" s="36"/>
      <c r="U131" s="36"/>
      <c r="V131" s="36">
        <v>2</v>
      </c>
      <c r="W131" s="36"/>
      <c r="X131" s="36"/>
      <c r="Y131" s="36"/>
      <c r="Z131" s="36"/>
      <c r="AA131" s="36"/>
      <c r="AB131" s="11">
        <f t="shared" si="12"/>
        <v>4</v>
      </c>
    </row>
    <row r="132" spans="1:28" ht="21.9" customHeight="1">
      <c r="A132" s="53" t="s">
        <v>287</v>
      </c>
      <c r="B132" s="42" t="str">
        <f>IFERROR(CONCATENATE(A132,". ",VLOOKUP(A132,'results, prods y acts'!$A$2:$B$8,2,FALSE)),"")</f>
        <v>CB. Conservación de la Biodiversidad y Lucha contra el Cambio Climático</v>
      </c>
      <c r="C132" s="39" t="s">
        <v>37</v>
      </c>
      <c r="D132" s="42" t="str">
        <f>IFERROR(CONCATENATE(C132,". ",VLOOKUP(C132,'results, prods y acts'!$D$2:$E$12,2,FALSE)),CONCATENATE(C132,". "))</f>
        <v>P2. Fortalecimiento de capacidades</v>
      </c>
      <c r="E132" s="42" t="str" cm="1">
        <f t="array" ref="E132">IFERROR(INDEX(_xlfn.TEXTSPLIT(I132,"."),2)&amp;"."&amp;INDEX(_xlfn.TEXTSPLIT(I132,"."),3),"")</f>
        <v>P2.5</v>
      </c>
      <c r="F132" s="42" t="str">
        <f>IFERROR(CONCATENATE(E132,". ",VLOOKUP(E132,'results, prods y acts'!$G$2:$H$16,2,FALSE)),"")</f>
        <v>P2.5. Charla</v>
      </c>
      <c r="G132" s="20" t="s">
        <v>4</v>
      </c>
      <c r="H132" s="20"/>
      <c r="I132" s="15" t="s">
        <v>300</v>
      </c>
      <c r="J132" s="8" t="s">
        <v>412</v>
      </c>
      <c r="K132" s="7" t="str">
        <f t="shared" si="13"/>
        <v>CB.P2.5.2. Charlas sobre vigilancia comunitaria en ACR (MF VIGILANCIA PARTICIPATIVA, MF PIF)</v>
      </c>
      <c r="L132" s="34" t="s">
        <v>35</v>
      </c>
      <c r="M132" s="34" t="s">
        <v>339</v>
      </c>
      <c r="N132" s="33" t="s">
        <v>419</v>
      </c>
      <c r="O132" s="7" t="s">
        <v>421</v>
      </c>
      <c r="P132" s="36"/>
      <c r="Q132" s="36"/>
      <c r="R132" s="36">
        <v>1</v>
      </c>
      <c r="S132" s="36"/>
      <c r="T132" s="36">
        <v>1</v>
      </c>
      <c r="U132" s="36">
        <v>1</v>
      </c>
      <c r="V132" s="36"/>
      <c r="W132" s="36"/>
      <c r="X132" s="36"/>
      <c r="Y132" s="36"/>
      <c r="Z132" s="36"/>
      <c r="AA132" s="36"/>
      <c r="AB132" s="11">
        <f t="shared" si="12"/>
        <v>3</v>
      </c>
    </row>
    <row r="133" spans="1:28" ht="21.9" customHeight="1">
      <c r="A133" s="53" t="s">
        <v>287</v>
      </c>
      <c r="B133" s="42" t="str">
        <f>IFERROR(CONCATENATE(A133,". ",VLOOKUP(A133,'results, prods y acts'!$A$2:$B$8,2,FALSE)),"")</f>
        <v>CB. Conservación de la Biodiversidad y Lucha contra el Cambio Climático</v>
      </c>
      <c r="C133" s="39" t="s">
        <v>37</v>
      </c>
      <c r="D133" s="42" t="str">
        <f>IFERROR(CONCATENATE(C133,". ",VLOOKUP(C133,'results, prods y acts'!$D$2:$E$12,2,FALSE)),CONCATENATE(C133,". "))</f>
        <v>P2. Fortalecimiento de capacidades</v>
      </c>
      <c r="E133" s="42" t="str" cm="1">
        <f t="array" ref="E133">IFERROR(INDEX(_xlfn.TEXTSPLIT(I133,"."),2)&amp;"."&amp;INDEX(_xlfn.TEXTSPLIT(I133,"."),3),"")</f>
        <v>P2.5</v>
      </c>
      <c r="F133" s="42" t="str">
        <f>IFERROR(CONCATENATE(E133,". ",VLOOKUP(E133,'results, prods y acts'!$G$2:$H$16,2,FALSE)),"")</f>
        <v>P2.5. Charla</v>
      </c>
      <c r="G133" s="20" t="s">
        <v>4</v>
      </c>
      <c r="H133" s="20"/>
      <c r="I133" s="15" t="s">
        <v>301</v>
      </c>
      <c r="J133" s="8" t="s">
        <v>413</v>
      </c>
      <c r="K133" s="7" t="str">
        <f t="shared" si="13"/>
        <v>CB.P2.5.3. Charlas sobre monitoreo remoto (Tala selectiva, Alertas Atd, Indice de Severidad de Incendios)</v>
      </c>
      <c r="L133" s="34" t="s">
        <v>35</v>
      </c>
      <c r="M133" s="34" t="s">
        <v>339</v>
      </c>
      <c r="N133" s="33" t="s">
        <v>46</v>
      </c>
      <c r="O133" s="7" t="s">
        <v>347</v>
      </c>
      <c r="P133" s="36">
        <v>2</v>
      </c>
      <c r="Q133" s="36">
        <v>3</v>
      </c>
      <c r="R133" s="36"/>
      <c r="S133" s="36">
        <v>3</v>
      </c>
      <c r="T133" s="36"/>
      <c r="U133" s="36"/>
      <c r="V133" s="36"/>
      <c r="W133" s="36"/>
      <c r="X133" s="36"/>
      <c r="Y133" s="36"/>
      <c r="Z133" s="36"/>
      <c r="AA133" s="36"/>
      <c r="AB133" s="11">
        <f t="shared" si="12"/>
        <v>8</v>
      </c>
    </row>
    <row r="134" spans="1:28" ht="21.9" customHeight="1">
      <c r="A134" s="53" t="s">
        <v>287</v>
      </c>
      <c r="B134" s="42" t="str">
        <f>IFERROR(CONCATENATE(A134,". ",VLOOKUP(A134,'results, prods y acts'!$A$2:$B$8,2,FALSE)),"")</f>
        <v>CB. Conservación de la Biodiversidad y Lucha contra el Cambio Climático</v>
      </c>
      <c r="C134" s="39" t="s">
        <v>37</v>
      </c>
      <c r="D134" s="42" t="str">
        <f>IFERROR(CONCATENATE(C134,". ",VLOOKUP(C134,'results, prods y acts'!$D$2:$E$12,2,FALSE)),CONCATENATE(C134,". "))</f>
        <v>P2. Fortalecimiento de capacidades</v>
      </c>
      <c r="E134" s="42" t="str" cm="1">
        <f t="array" ref="E134">IFERROR(INDEX(_xlfn.TEXTSPLIT(I134,"."),2)&amp;"."&amp;INDEX(_xlfn.TEXTSPLIT(I134,"."),3),"")</f>
        <v>P2.5</v>
      </c>
      <c r="F134" s="42" t="str">
        <f>IFERROR(CONCATENATE(E134,". ",VLOOKUP(E134,'results, prods y acts'!$G$2:$H$16,2,FALSE)),"")</f>
        <v>P2.5. Charla</v>
      </c>
      <c r="G134" s="20" t="s">
        <v>4</v>
      </c>
      <c r="H134" s="20"/>
      <c r="I134" s="15" t="s">
        <v>414</v>
      </c>
      <c r="J134" s="8" t="s">
        <v>415</v>
      </c>
      <c r="K134" s="7" t="str">
        <f t="shared" si="13"/>
        <v>CB.P2.5.4. Intercambios de Experiencias (Congreso de ACR, Webinar de intercambio de experiencias entre capacitadores en Mochila Forestal)</v>
      </c>
      <c r="L134" s="34" t="s">
        <v>416</v>
      </c>
      <c r="M134" s="34" t="s">
        <v>443</v>
      </c>
      <c r="N134" s="33" t="s">
        <v>41</v>
      </c>
      <c r="O134" s="7" t="s">
        <v>422</v>
      </c>
      <c r="P134" s="36"/>
      <c r="Q134" s="36"/>
      <c r="R134" s="36"/>
      <c r="S134" s="36"/>
      <c r="T134" s="36"/>
      <c r="U134" s="36">
        <v>1</v>
      </c>
      <c r="V134" s="36"/>
      <c r="W134" s="36">
        <v>1</v>
      </c>
      <c r="X134" s="36"/>
      <c r="Y134" s="36"/>
      <c r="Z134" s="36"/>
      <c r="AA134" s="36"/>
      <c r="AB134" s="11">
        <f t="shared" si="12"/>
        <v>2</v>
      </c>
    </row>
    <row r="135" spans="1:28" ht="38.25" customHeight="1">
      <c r="A135" s="53" t="s">
        <v>287</v>
      </c>
      <c r="B135" s="42" t="str">
        <f>IFERROR(CONCATENATE(A135,". ",VLOOKUP(A135,'results, prods y acts'!$A$2:$B$8,2,FALSE)),"")</f>
        <v>CB. Conservación de la Biodiversidad y Lucha contra el Cambio Climático</v>
      </c>
      <c r="C135" s="39" t="s">
        <v>53</v>
      </c>
      <c r="D135" s="42" t="str">
        <f>IFERROR(CONCATENATE(C135,". ",VLOOKUP(C135,'results, prods y acts'!$D$2:$E$12,2,FALSE)),CONCATENATE(C135,". "))</f>
        <v>P3. Instrumentos de mejora de la gestión</v>
      </c>
      <c r="E135" s="42" t="str" cm="1">
        <f t="array" ref="E135">IFERROR(INDEX(_xlfn.TEXTSPLIT(I135,"."),2)&amp;"."&amp;INDEX(_xlfn.TEXTSPLIT(I135,"."),3),"")</f>
        <v>P3.4</v>
      </c>
      <c r="F135" s="42" t="str">
        <f>IFERROR(CONCATENATE(E135,". ",VLOOKUP(E135,'results, prods y acts'!$G$2:$H$16,2,FALSE)),"")</f>
        <v>P3.4. Propuesta de modificación técnico-administrativa a nivel institucional</v>
      </c>
      <c r="G135" s="20" t="s">
        <v>4</v>
      </c>
      <c r="H135" s="20"/>
      <c r="I135" s="15" t="s">
        <v>554</v>
      </c>
      <c r="J135" s="8" t="s">
        <v>426</v>
      </c>
      <c r="K135" s="7" t="str">
        <f t="shared" si="13"/>
        <v>CB.P3.4.1. Propuesta de Directiva de Acuerdos de conservación en ACR, por región  (elaboración, socialización a nivel regional y promoción de su aprobación con instrumento normativo)</v>
      </c>
      <c r="L135" s="34" t="s">
        <v>344</v>
      </c>
      <c r="M135" s="34" t="s">
        <v>56</v>
      </c>
      <c r="N135" s="36" t="s">
        <v>41</v>
      </c>
      <c r="O135" s="43" t="s">
        <v>431</v>
      </c>
      <c r="P135" s="56"/>
      <c r="Q135" s="56"/>
      <c r="R135" s="56"/>
      <c r="S135" s="56"/>
      <c r="T135" s="56"/>
      <c r="U135" s="56"/>
      <c r="V135" s="56"/>
      <c r="W135" s="56"/>
      <c r="X135" s="56">
        <v>2</v>
      </c>
      <c r="Y135" s="56"/>
      <c r="Z135" s="56"/>
      <c r="AA135" s="56"/>
      <c r="AB135" s="56">
        <f t="shared" ref="AB135:AB149" si="14">SUM(P135:AA135)</f>
        <v>2</v>
      </c>
    </row>
    <row r="136" spans="1:28" ht="27.75" customHeight="1">
      <c r="A136" s="53" t="s">
        <v>287</v>
      </c>
      <c r="B136" s="42" t="str">
        <f>IFERROR(CONCATENATE(A136,". ",VLOOKUP(A136,'results, prods y acts'!$A$2:$B$8,2,FALSE)),"")</f>
        <v>CB. Conservación de la Biodiversidad y Lucha contra el Cambio Climático</v>
      </c>
      <c r="C136" s="39" t="s">
        <v>53</v>
      </c>
      <c r="D136" s="42" t="str">
        <f>IFERROR(CONCATENATE(C136,". ",VLOOKUP(C136,'results, prods y acts'!$D$2:$E$12,2,FALSE)),CONCATENATE(C136,". "))</f>
        <v>P3. Instrumentos de mejora de la gestión</v>
      </c>
      <c r="E136" s="42" t="str" cm="1">
        <f t="array" ref="E136">IFERROR(INDEX(_xlfn.TEXTSPLIT(I136,"."),2)&amp;"."&amp;INDEX(_xlfn.TEXTSPLIT(I136,"."),3),"")</f>
        <v>P3.5</v>
      </c>
      <c r="F136" s="42" t="str">
        <f>IFERROR(CONCATENATE(E136,". ",VLOOKUP(E136,'results, prods y acts'!$G$2:$H$16,2,FALSE)),"")</f>
        <v>P3.5. Propuesta de modificación técnico-administrativa a nivel sectorial</v>
      </c>
      <c r="G136" s="20" t="s">
        <v>4</v>
      </c>
      <c r="H136" s="20"/>
      <c r="I136" s="15" t="s">
        <v>555</v>
      </c>
      <c r="J136" s="8" t="s">
        <v>423</v>
      </c>
      <c r="K136" s="7" t="str">
        <f t="shared" si="13"/>
        <v>CB.P3.5.1. Guía para la entrega de los servicios de vigilancia y control, en las fases de monitoreo y retroalimentación</v>
      </c>
      <c r="L136" s="34" t="s">
        <v>344</v>
      </c>
      <c r="M136" s="34" t="s">
        <v>56</v>
      </c>
      <c r="N136" s="36" t="s">
        <v>427</v>
      </c>
      <c r="O136" s="43" t="s">
        <v>430</v>
      </c>
      <c r="P136" s="56"/>
      <c r="Q136" s="56"/>
      <c r="R136" s="56">
        <v>1</v>
      </c>
      <c r="S136" s="56"/>
      <c r="T136" s="56"/>
      <c r="U136" s="56"/>
      <c r="V136" s="56"/>
      <c r="W136" s="56"/>
      <c r="X136" s="56"/>
      <c r="Y136" s="56"/>
      <c r="Z136" s="56"/>
      <c r="AA136" s="56"/>
      <c r="AB136" s="56">
        <f t="shared" si="14"/>
        <v>1</v>
      </c>
    </row>
    <row r="137" spans="1:28" ht="36" customHeight="1">
      <c r="A137" s="53" t="s">
        <v>287</v>
      </c>
      <c r="B137" s="42" t="str">
        <f>IFERROR(CONCATENATE(A137,". ",VLOOKUP(A137,'results, prods y acts'!$A$2:$B$8,2,FALSE)),"")</f>
        <v>CB. Conservación de la Biodiversidad y Lucha contra el Cambio Climático</v>
      </c>
      <c r="C137" s="39" t="s">
        <v>53</v>
      </c>
      <c r="D137" s="42" t="str">
        <f>IFERROR(CONCATENATE(C137,". ",VLOOKUP(C137,'results, prods y acts'!$D$2:$E$12,2,FALSE)),CONCATENATE(C137,". "))</f>
        <v>P3. Instrumentos de mejora de la gestión</v>
      </c>
      <c r="E137" s="42" t="str" cm="1">
        <f t="array" ref="E137">IFERROR(INDEX(_xlfn.TEXTSPLIT(I137,"."),2)&amp;"."&amp;INDEX(_xlfn.TEXTSPLIT(I137,"."),3),"")</f>
        <v>P3.5</v>
      </c>
      <c r="F137" s="42" t="str">
        <f>IFERROR(CONCATENATE(E137,". ",VLOOKUP(E137,'results, prods y acts'!$G$2:$H$16,2,FALSE)),"")</f>
        <v>P3.5. Propuesta de modificación técnico-administrativa a nivel sectorial</v>
      </c>
      <c r="G137" s="20" t="s">
        <v>4</v>
      </c>
      <c r="H137" s="20"/>
      <c r="I137" s="15" t="s">
        <v>556</v>
      </c>
      <c r="J137" s="8" t="s">
        <v>424</v>
      </c>
      <c r="K137" s="7" t="str">
        <f t="shared" si="13"/>
        <v>CB.P3.5.2. Guía metodológica para el monitoreo de la deforestación en bosques amazónicos de ANP mediante el uso de teledetección y sistemas de información geográfica</v>
      </c>
      <c r="L137" s="34" t="s">
        <v>344</v>
      </c>
      <c r="M137" s="34" t="s">
        <v>56</v>
      </c>
      <c r="N137" s="36" t="s">
        <v>428</v>
      </c>
      <c r="O137" s="43" t="s">
        <v>430</v>
      </c>
      <c r="P137" s="56"/>
      <c r="Q137" s="56"/>
      <c r="R137" s="56"/>
      <c r="S137" s="56">
        <v>1</v>
      </c>
      <c r="T137" s="56"/>
      <c r="U137" s="56"/>
      <c r="V137" s="56"/>
      <c r="W137" s="56"/>
      <c r="X137" s="56"/>
      <c r="Y137" s="56"/>
      <c r="Z137" s="56"/>
      <c r="AA137" s="56"/>
      <c r="AB137" s="56">
        <f t="shared" si="14"/>
        <v>1</v>
      </c>
    </row>
    <row r="138" spans="1:28" ht="21.9" customHeight="1">
      <c r="A138" s="53" t="s">
        <v>287</v>
      </c>
      <c r="B138" s="42" t="str">
        <f>IFERROR(CONCATENATE(A138,". ",VLOOKUP(A138,'results, prods y acts'!$A$2:$B$8,2,FALSE)),"")</f>
        <v>CB. Conservación de la Biodiversidad y Lucha contra el Cambio Climático</v>
      </c>
      <c r="C138" s="39" t="s">
        <v>53</v>
      </c>
      <c r="D138" s="42" t="str">
        <f>IFERROR(CONCATENATE(C138,". ",VLOOKUP(C138,'results, prods y acts'!$D$2:$E$12,2,FALSE)),CONCATENATE(C138,". "))</f>
        <v>P3. Instrumentos de mejora de la gestión</v>
      </c>
      <c r="E138" s="42" t="str" cm="1">
        <f t="array" ref="E138">IFERROR(INDEX(_xlfn.TEXTSPLIT(I138,"."),2)&amp;"."&amp;INDEX(_xlfn.TEXTSPLIT(I138,"."),3),"")</f>
        <v>P3.5</v>
      </c>
      <c r="F138" s="42" t="str">
        <f>IFERROR(CONCATENATE(E138,". ",VLOOKUP(E138,'results, prods y acts'!$G$2:$H$16,2,FALSE)),"")</f>
        <v>P3.5. Propuesta de modificación técnico-administrativa a nivel sectorial</v>
      </c>
      <c r="G138" s="20" t="s">
        <v>4</v>
      </c>
      <c r="H138" s="20"/>
      <c r="I138" s="15" t="s">
        <v>557</v>
      </c>
      <c r="J138" s="8" t="s">
        <v>425</v>
      </c>
      <c r="K138" s="7" t="str">
        <f t="shared" si="13"/>
        <v>CB.P3.5.3. Protocolo para la gestión de alertas de deforestación para ACR</v>
      </c>
      <c r="L138" s="34" t="s">
        <v>344</v>
      </c>
      <c r="M138" s="34" t="s">
        <v>56</v>
      </c>
      <c r="N138" s="36" t="s">
        <v>429</v>
      </c>
      <c r="O138" s="43" t="s">
        <v>430</v>
      </c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>
        <v>1</v>
      </c>
      <c r="AA138" s="56"/>
      <c r="AB138" s="56">
        <f t="shared" si="14"/>
        <v>1</v>
      </c>
    </row>
    <row r="139" spans="1:28" ht="21.9" customHeight="1">
      <c r="A139" s="53" t="s">
        <v>287</v>
      </c>
      <c r="B139" s="42" t="str">
        <f>IFERROR(CONCATENATE(A139,". ",VLOOKUP(A139,'results, prods y acts'!$A$2:$B$8,2,FALSE)),"")</f>
        <v>CB. Conservación de la Biodiversidad y Lucha contra el Cambio Climático</v>
      </c>
      <c r="C139" s="39" t="s">
        <v>53</v>
      </c>
      <c r="D139" s="42" t="str">
        <f>IFERROR(CONCATENATE(C139,". ",VLOOKUP(C139,'results, prods y acts'!$D$2:$E$12,2,FALSE)),CONCATENATE(C139,". "))</f>
        <v>P3. Instrumentos de mejora de la gestión</v>
      </c>
      <c r="E139" s="42" t="str" cm="1">
        <f t="array" ref="E139">IFERROR(INDEX(_xlfn.TEXTSPLIT(I139,"."),2)&amp;"."&amp;INDEX(_xlfn.TEXTSPLIT(I139,"."),3),"")</f>
        <v>P3.5</v>
      </c>
      <c r="F139" s="42" t="str">
        <f>IFERROR(CONCATENATE(E139,". ",VLOOKUP(E139,'results, prods y acts'!$G$2:$H$16,2,FALSE)),"")</f>
        <v>P3.5. Propuesta de modificación técnico-administrativa a nivel sectorial</v>
      </c>
      <c r="G139" s="20" t="s">
        <v>4</v>
      </c>
      <c r="H139" s="20"/>
      <c r="I139" s="15" t="s">
        <v>558</v>
      </c>
      <c r="J139" s="8" t="s">
        <v>552</v>
      </c>
      <c r="K139" s="7" t="str">
        <f t="shared" si="13"/>
        <v>CB.P3.5.4. Guia metodologica para la implementación de Contratos de Administración en ACR</v>
      </c>
      <c r="L139" s="34" t="s">
        <v>344</v>
      </c>
      <c r="M139" s="34" t="s">
        <v>56</v>
      </c>
      <c r="N139" s="36" t="s">
        <v>428</v>
      </c>
      <c r="O139" s="43" t="s">
        <v>553</v>
      </c>
      <c r="P139" s="56"/>
      <c r="Q139" s="56"/>
      <c r="R139" s="56"/>
      <c r="S139" s="56"/>
      <c r="T139" s="56"/>
      <c r="U139" s="56"/>
      <c r="V139" s="56">
        <v>1</v>
      </c>
      <c r="W139" s="56"/>
      <c r="X139" s="56"/>
      <c r="Y139" s="56"/>
      <c r="Z139" s="56"/>
      <c r="AA139" s="56"/>
      <c r="AB139" s="56">
        <f t="shared" si="14"/>
        <v>1</v>
      </c>
    </row>
    <row r="140" spans="1:28" ht="20.25" customHeight="1">
      <c r="A140" s="53" t="s">
        <v>287</v>
      </c>
      <c r="B140" s="42" t="str">
        <f>IFERROR(CONCATENATE(A140,". ",VLOOKUP(A140,'results, prods y acts'!$A$2:$B$8,2,FALSE)),"")</f>
        <v>CB. Conservación de la Biodiversidad y Lucha contra el Cambio Climático</v>
      </c>
      <c r="C140" s="39" t="s">
        <v>64</v>
      </c>
      <c r="D140" s="42" t="str">
        <f>IFERROR(CONCATENATE(C140,". ",VLOOKUP(C140,'results, prods y acts'!$D$2:$E$12,2,FALSE)),CONCATENATE(C140,". "))</f>
        <v>P4. Tecnologia de la Informacion / Instrumentos de innovación</v>
      </c>
      <c r="E140" s="42" t="str" cm="1">
        <f t="array" ref="E140">IFERROR(INDEX(_xlfn.TEXTSPLIT(I140,"."),2)&amp;"."&amp;INDEX(_xlfn.TEXTSPLIT(I140,"."),3),"")</f>
        <v>P4.1</v>
      </c>
      <c r="F140" s="42" t="str">
        <f>IFERROR(CONCATENATE(E140,". ",VLOOKUP(E140,'results, prods y acts'!$G$2:$H$16,2,FALSE)),"")</f>
        <v>P4.1. Estrategia para la eficiencia de procesos</v>
      </c>
      <c r="G140" s="20" t="s">
        <v>4</v>
      </c>
      <c r="H140" s="20"/>
      <c r="I140" s="6" t="s">
        <v>302</v>
      </c>
      <c r="J140" s="8" t="s">
        <v>432</v>
      </c>
      <c r="K140" s="7" t="str">
        <f t="shared" si="13"/>
        <v>CB.P4.1.1. Modelo de datos SMART para ACR</v>
      </c>
      <c r="L140" s="34" t="s">
        <v>438</v>
      </c>
      <c r="M140" s="34" t="s">
        <v>441</v>
      </c>
      <c r="N140" s="33" t="s">
        <v>41</v>
      </c>
      <c r="O140" s="7" t="s">
        <v>444</v>
      </c>
      <c r="P140" s="41"/>
      <c r="Q140" s="41"/>
      <c r="R140" s="41">
        <v>1</v>
      </c>
      <c r="S140" s="41"/>
      <c r="T140" s="41"/>
      <c r="U140" s="41"/>
      <c r="V140" s="36"/>
      <c r="W140" s="36"/>
      <c r="X140" s="36"/>
      <c r="Y140" s="41"/>
      <c r="Z140" s="41"/>
      <c r="AA140" s="41"/>
      <c r="AB140" s="11">
        <f t="shared" si="14"/>
        <v>1</v>
      </c>
    </row>
    <row r="141" spans="1:28" ht="21.75" customHeight="1">
      <c r="A141" s="53" t="s">
        <v>287</v>
      </c>
      <c r="B141" s="42" t="str">
        <f>IFERROR(CONCATENATE(A141,". ",VLOOKUP(A141,'results, prods y acts'!$A$2:$B$8,2,FALSE)),"")</f>
        <v>CB. Conservación de la Biodiversidad y Lucha contra el Cambio Climático</v>
      </c>
      <c r="C141" s="39" t="s">
        <v>64</v>
      </c>
      <c r="D141" s="42" t="str">
        <f>IFERROR(CONCATENATE(C141,". ",VLOOKUP(C141,'results, prods y acts'!$D$2:$E$12,2,FALSE)),CONCATENATE(C141,". "))</f>
        <v>P4. Tecnologia de la Informacion / Instrumentos de innovación</v>
      </c>
      <c r="E141" s="42" t="str" cm="1">
        <f t="array" ref="E141">IFERROR(INDEX(_xlfn.TEXTSPLIT(I141,"."),2)&amp;"."&amp;INDEX(_xlfn.TEXTSPLIT(I141,"."),3),"")</f>
        <v>P4.1</v>
      </c>
      <c r="F141" s="42" t="str">
        <f>IFERROR(CONCATENATE(E141,". ",VLOOKUP(E141,'results, prods y acts'!$G$2:$H$16,2,FALSE)),"")</f>
        <v>P4.1. Estrategia para la eficiencia de procesos</v>
      </c>
      <c r="G141" s="20" t="s">
        <v>4</v>
      </c>
      <c r="H141" s="20"/>
      <c r="I141" s="6" t="s">
        <v>433</v>
      </c>
      <c r="J141" s="8" t="s">
        <v>434</v>
      </c>
      <c r="K141" s="7" t="str">
        <f t="shared" si="13"/>
        <v>CB.P4.1.2. Video informativo sobre el uso de la herramienta SMART</v>
      </c>
      <c r="L141" s="34" t="s">
        <v>439</v>
      </c>
      <c r="M141" s="33" t="s">
        <v>442</v>
      </c>
      <c r="N141" s="33" t="s">
        <v>41</v>
      </c>
      <c r="O141" s="7" t="s">
        <v>445</v>
      </c>
      <c r="P141" s="41"/>
      <c r="Q141" s="41"/>
      <c r="R141" s="41"/>
      <c r="S141" s="41">
        <v>1</v>
      </c>
      <c r="T141" s="41"/>
      <c r="U141" s="41"/>
      <c r="V141" s="36"/>
      <c r="W141" s="36"/>
      <c r="X141" s="36"/>
      <c r="Y141" s="41"/>
      <c r="Z141" s="41"/>
      <c r="AA141" s="41"/>
      <c r="AB141" s="11">
        <f t="shared" si="14"/>
        <v>1</v>
      </c>
    </row>
    <row r="142" spans="1:28" ht="24.75" customHeight="1">
      <c r="A142" s="53" t="s">
        <v>287</v>
      </c>
      <c r="B142" s="42" t="str">
        <f>IFERROR(CONCATENATE(A142,". ",VLOOKUP(A142,'results, prods y acts'!$A$2:$B$8,2,FALSE)),"")</f>
        <v>CB. Conservación de la Biodiversidad y Lucha contra el Cambio Climático</v>
      </c>
      <c r="C142" s="39" t="s">
        <v>64</v>
      </c>
      <c r="D142" s="42" t="str">
        <f>IFERROR(CONCATENATE(C142,". ",VLOOKUP(C142,'results, prods y acts'!$D$2:$E$12,2,FALSE)),CONCATENATE(C142,". "))</f>
        <v>P4. Tecnologia de la Informacion / Instrumentos de innovación</v>
      </c>
      <c r="E142" s="42" t="str" cm="1">
        <f t="array" ref="E142">IFERROR(INDEX(_xlfn.TEXTSPLIT(I142,"."),2)&amp;"."&amp;INDEX(_xlfn.TEXTSPLIT(I142,"."),3),"")</f>
        <v>P4.1</v>
      </c>
      <c r="F142" s="42" t="str">
        <f>IFERROR(CONCATENATE(E142,". ",VLOOKUP(E142,'results, prods y acts'!$G$2:$H$16,2,FALSE)),"")</f>
        <v>P4.1. Estrategia para la eficiencia de procesos</v>
      </c>
      <c r="G142" s="20" t="s">
        <v>4</v>
      </c>
      <c r="H142" s="20"/>
      <c r="I142" s="6" t="s">
        <v>435</v>
      </c>
      <c r="J142" s="8" t="s">
        <v>436</v>
      </c>
      <c r="K142" s="7" t="str">
        <f t="shared" si="13"/>
        <v>CB.P4.1.3. Diseño de sistema piloto de alertas tempranas que permita el monitoreo de cambios en los bosques</v>
      </c>
      <c r="L142" s="34" t="s">
        <v>440</v>
      </c>
      <c r="M142" s="33" t="s">
        <v>341</v>
      </c>
      <c r="N142" s="41" t="s">
        <v>41</v>
      </c>
      <c r="O142" s="43" t="s">
        <v>446</v>
      </c>
      <c r="P142" s="41"/>
      <c r="Q142" s="41"/>
      <c r="R142" s="41"/>
      <c r="S142" s="41"/>
      <c r="T142" s="41"/>
      <c r="U142" s="41"/>
      <c r="V142" s="36"/>
      <c r="W142" s="36"/>
      <c r="X142" s="36"/>
      <c r="Y142" s="41"/>
      <c r="Z142" s="41"/>
      <c r="AA142" s="41">
        <v>1</v>
      </c>
      <c r="AB142" s="11">
        <f t="shared" si="14"/>
        <v>1</v>
      </c>
    </row>
    <row r="143" spans="1:28" ht="22.8">
      <c r="A143" s="53" t="s">
        <v>287</v>
      </c>
      <c r="B143" s="42" t="str">
        <f>IFERROR(CONCATENATE(A143,". ",VLOOKUP(A143,'results, prods y acts'!$A$2:$B$8,2,FALSE)),"")</f>
        <v>CB. Conservación de la Biodiversidad y Lucha contra el Cambio Climático</v>
      </c>
      <c r="C143" s="39" t="s">
        <v>64</v>
      </c>
      <c r="D143" s="42" t="str">
        <f>IFERROR(CONCATENATE(C143,". ",VLOOKUP(C143,'results, prods y acts'!$D$2:$E$12,2,FALSE)),CONCATENATE(C143,". "))</f>
        <v>P4. Tecnologia de la Informacion / Instrumentos de innovación</v>
      </c>
      <c r="E143" s="42" t="str" cm="1">
        <f t="array" ref="E143">IFERROR(INDEX(_xlfn.TEXTSPLIT(I143,"."),2)&amp;"."&amp;INDEX(_xlfn.TEXTSPLIT(I143,"."),3),"")</f>
        <v>P4.1</v>
      </c>
      <c r="F143" s="42" t="str">
        <f>IFERROR(CONCATENATE(E143,". ",VLOOKUP(E143,'results, prods y acts'!$G$2:$H$16,2,FALSE)),"")</f>
        <v>P4.1. Estrategia para la eficiencia de procesos</v>
      </c>
      <c r="G143" s="20" t="s">
        <v>4</v>
      </c>
      <c r="H143" s="20"/>
      <c r="I143" s="6" t="s">
        <v>437</v>
      </c>
      <c r="J143" s="8" t="s">
        <v>448</v>
      </c>
      <c r="K143" s="7" t="str">
        <f t="shared" si="13"/>
        <v>CB.P4.1.4. Mapaton para identificación especies maderables y no maderables</v>
      </c>
      <c r="L143" s="34" t="s">
        <v>416</v>
      </c>
      <c r="M143" s="33" t="s">
        <v>443</v>
      </c>
      <c r="N143" s="33" t="s">
        <v>41</v>
      </c>
      <c r="O143" s="7" t="s">
        <v>447</v>
      </c>
      <c r="P143" s="41"/>
      <c r="Q143" s="41"/>
      <c r="R143" s="41"/>
      <c r="S143" s="41"/>
      <c r="T143" s="41"/>
      <c r="U143" s="41">
        <v>1</v>
      </c>
      <c r="V143" s="36"/>
      <c r="W143" s="36"/>
      <c r="X143" s="36"/>
      <c r="Y143" s="41"/>
      <c r="Z143" s="41"/>
      <c r="AA143" s="41"/>
      <c r="AB143" s="11">
        <f t="shared" si="14"/>
        <v>1</v>
      </c>
    </row>
    <row r="144" spans="1:28" ht="29.25" customHeight="1">
      <c r="A144" s="53" t="s">
        <v>287</v>
      </c>
      <c r="B144" s="42" t="str">
        <f>IFERROR(CONCATENATE(A144,". ",VLOOKUP(A144,'results, prods y acts'!$A$2:$B$8,2,FALSE)),"")</f>
        <v>CB. Conservación de la Biodiversidad y Lucha contra el Cambio Climático</v>
      </c>
      <c r="C144" s="39" t="s">
        <v>76</v>
      </c>
      <c r="D144" s="42" t="str">
        <f>IFERROR(CONCATENATE(C144,". ",VLOOKUP(C144,'results, prods y acts'!$D$2:$E$12,2,FALSE)),CONCATENATE(C144,". "))</f>
        <v>P5. Instrumentos de Gestión del Conocimiento (Publicaciones)</v>
      </c>
      <c r="E144" s="42" t="str" cm="1">
        <f t="array" ref="E144">IFERROR(INDEX(_xlfn.TEXTSPLIT(I144,"."),2)&amp;"."&amp;INDEX(_xlfn.TEXTSPLIT(I144,"."),3),"")</f>
        <v>P5.1</v>
      </c>
      <c r="F144" s="42" t="str">
        <f>IFERROR(CONCATENATE(E144,". ",VLOOKUP(E144,'results, prods y acts'!$G$2:$H$16,2,FALSE)),"")</f>
        <v>P5.1. Documentos de trabajo</v>
      </c>
      <c r="G144" s="20" t="s">
        <v>4</v>
      </c>
      <c r="H144" s="20"/>
      <c r="I144" s="6" t="s">
        <v>303</v>
      </c>
      <c r="J144" s="8" t="s">
        <v>304</v>
      </c>
      <c r="K144" s="7" t="str">
        <f t="shared" si="13"/>
        <v>CB.P5.1.1. Documento de trabajo sobre gobernanza de la conservación de la biodiversidad</v>
      </c>
      <c r="L144" s="36" t="s">
        <v>340</v>
      </c>
      <c r="M144" s="36" t="s">
        <v>56</v>
      </c>
      <c r="N144" s="36" t="s">
        <v>456</v>
      </c>
      <c r="O144" s="6" t="s">
        <v>501</v>
      </c>
      <c r="P144" s="36"/>
      <c r="Q144" s="36"/>
      <c r="R144" s="36">
        <v>1</v>
      </c>
      <c r="S144" s="36"/>
      <c r="T144" s="36"/>
      <c r="U144" s="36"/>
      <c r="V144" s="36"/>
      <c r="W144" s="36"/>
      <c r="X144" s="36"/>
      <c r="Y144" s="36"/>
      <c r="Z144" s="36"/>
      <c r="AA144" s="36">
        <v>1</v>
      </c>
      <c r="AB144" s="11">
        <f t="shared" si="14"/>
        <v>2</v>
      </c>
    </row>
    <row r="145" spans="1:28" ht="21.9" customHeight="1">
      <c r="A145" s="53" t="s">
        <v>287</v>
      </c>
      <c r="B145" s="42" t="str">
        <f>IFERROR(CONCATENATE(A145,". ",VLOOKUP(A145,'results, prods y acts'!$A$2:$B$8,2,FALSE)),"")</f>
        <v>CB. Conservación de la Biodiversidad y Lucha contra el Cambio Climático</v>
      </c>
      <c r="C145" s="39" t="s">
        <v>76</v>
      </c>
      <c r="D145" s="42" t="str">
        <f>IFERROR(CONCATENATE(C145,". ",VLOOKUP(C145,'results, prods y acts'!$D$2:$E$12,2,FALSE)),CONCATENATE(C145,". "))</f>
        <v>P5. Instrumentos de Gestión del Conocimiento (Publicaciones)</v>
      </c>
      <c r="E145" s="42" t="str" cm="1">
        <f t="array" ref="E145">IFERROR(INDEX(_xlfn.TEXTSPLIT(I145,"."),2)&amp;"."&amp;INDEX(_xlfn.TEXTSPLIT(I145,"."),3),"")</f>
        <v>P5.1</v>
      </c>
      <c r="F145" s="42" t="str">
        <f>IFERROR(CONCATENATE(E145,". ",VLOOKUP(E145,'results, prods y acts'!$G$2:$H$16,2,FALSE)),"")</f>
        <v>P5.1. Documentos de trabajo</v>
      </c>
      <c r="G145" s="20" t="s">
        <v>4</v>
      </c>
      <c r="H145" s="20"/>
      <c r="I145" s="6" t="s">
        <v>449</v>
      </c>
      <c r="J145" s="8" t="s">
        <v>450</v>
      </c>
      <c r="K145" s="7" t="str">
        <f t="shared" si="13"/>
        <v>CB.P5.1.2. Documento de Trabajo sobre Uso de la Tecnología para Combatir la Tala Ilegal</v>
      </c>
      <c r="L145" s="36" t="s">
        <v>340</v>
      </c>
      <c r="M145" s="36" t="s">
        <v>56</v>
      </c>
      <c r="N145" s="36" t="s">
        <v>456</v>
      </c>
      <c r="O145" s="6" t="s">
        <v>457</v>
      </c>
      <c r="P145" s="36"/>
      <c r="Q145" s="36"/>
      <c r="R145" s="36"/>
      <c r="S145" s="36"/>
      <c r="T145" s="36">
        <v>1</v>
      </c>
      <c r="U145" s="36"/>
      <c r="V145" s="36"/>
      <c r="W145" s="36"/>
      <c r="X145" s="36"/>
      <c r="Y145" s="36"/>
      <c r="Z145" s="36"/>
      <c r="AA145" s="36"/>
      <c r="AB145" s="11">
        <f t="shared" si="14"/>
        <v>1</v>
      </c>
    </row>
    <row r="146" spans="1:28" ht="25.5" customHeight="1">
      <c r="A146" s="53" t="s">
        <v>287</v>
      </c>
      <c r="B146" s="42" t="str">
        <f>IFERROR(CONCATENATE(A146,". ",VLOOKUP(A146,'results, prods y acts'!$A$2:$B$8,2,FALSE)),"")</f>
        <v>CB. Conservación de la Biodiversidad y Lucha contra el Cambio Climático</v>
      </c>
      <c r="C146" s="39" t="s">
        <v>76</v>
      </c>
      <c r="D146" s="42" t="str">
        <f>IFERROR(CONCATENATE(C146,". ",VLOOKUP(C146,'results, prods y acts'!$D$2:$E$12,2,FALSE)),CONCATENATE(C146,". "))</f>
        <v>P5. Instrumentos de Gestión del Conocimiento (Publicaciones)</v>
      </c>
      <c r="E146" s="42" t="str" cm="1">
        <f t="array" ref="E146">IFERROR(INDEX(_xlfn.TEXTSPLIT(I146,"."),2)&amp;"."&amp;INDEX(_xlfn.TEXTSPLIT(I146,"."),3),"")</f>
        <v>P5.1</v>
      </c>
      <c r="F146" s="42" t="str">
        <f>IFERROR(CONCATENATE(E146,". ",VLOOKUP(E146,'results, prods y acts'!$G$2:$H$16,2,FALSE)),"")</f>
        <v>P5.1. Documentos de trabajo</v>
      </c>
      <c r="G146" s="20" t="s">
        <v>4</v>
      </c>
      <c r="H146" s="20"/>
      <c r="I146" s="6" t="s">
        <v>451</v>
      </c>
      <c r="J146" s="8" t="s">
        <v>452</v>
      </c>
      <c r="K146" s="7" t="str">
        <f t="shared" si="13"/>
        <v>CB.P5.1.3. Working Paper sobre Metodología de Monitoreo de Identificación especies maderables y no maderables en la amazonía peruana</v>
      </c>
      <c r="L146" s="36" t="s">
        <v>340</v>
      </c>
      <c r="M146" s="36" t="s">
        <v>56</v>
      </c>
      <c r="N146" s="36" t="s">
        <v>456</v>
      </c>
      <c r="O146" s="6" t="s">
        <v>458</v>
      </c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>
        <v>1</v>
      </c>
      <c r="AA146" s="36"/>
      <c r="AB146" s="11">
        <f t="shared" si="14"/>
        <v>1</v>
      </c>
    </row>
    <row r="147" spans="1:28" ht="21.9" customHeight="1">
      <c r="A147" s="53" t="s">
        <v>287</v>
      </c>
      <c r="B147" s="42" t="str">
        <f>IFERROR(CONCATENATE(A147,". ",VLOOKUP(A147,'results, prods y acts'!$A$2:$B$8,2,FALSE)),"")</f>
        <v>CB. Conservación de la Biodiversidad y Lucha contra el Cambio Climático</v>
      </c>
      <c r="C147" s="39" t="s">
        <v>76</v>
      </c>
      <c r="D147" s="42" t="str">
        <f>IFERROR(CONCATENATE(C147,". ",VLOOKUP(C147,'results, prods y acts'!$D$2:$E$12,2,FALSE)),CONCATENATE(C147,". "))</f>
        <v>P5. Instrumentos de Gestión del Conocimiento (Publicaciones)</v>
      </c>
      <c r="E147" s="42" t="str" cm="1">
        <f t="array" ref="E147">IFERROR(INDEX(_xlfn.TEXTSPLIT(I147,"."),2)&amp;"."&amp;INDEX(_xlfn.TEXTSPLIT(I147,"."),3),"")</f>
        <v>P5.2</v>
      </c>
      <c r="F147" s="42" t="str">
        <f>IFERROR(CONCATENATE(E147,". ",VLOOKUP(E147,'results, prods y acts'!$G$2:$H$16,2,FALSE)),"")</f>
        <v>P5.2. Documentos de buenas prácticas y lecciones aprendidas</v>
      </c>
      <c r="G147" s="20" t="s">
        <v>4</v>
      </c>
      <c r="H147" s="20"/>
      <c r="I147" s="6" t="s">
        <v>453</v>
      </c>
      <c r="J147" s="8" t="s">
        <v>454</v>
      </c>
      <c r="K147" s="7" t="str">
        <f t="shared" si="13"/>
        <v>CB.P5.2.1. Documento de Buenas practicas en el uso del Mapa de Actores</v>
      </c>
      <c r="L147" s="1" t="s">
        <v>455</v>
      </c>
      <c r="M147" s="1" t="s">
        <v>56</v>
      </c>
      <c r="N147" s="36" t="s">
        <v>456</v>
      </c>
      <c r="O147" s="6" t="s">
        <v>459</v>
      </c>
      <c r="P147" s="36"/>
      <c r="Q147" s="36"/>
      <c r="R147" s="36"/>
      <c r="S147" s="36"/>
      <c r="T147" s="36"/>
      <c r="U147" s="36"/>
      <c r="V147" s="36"/>
      <c r="W147" s="36"/>
      <c r="X147" s="36"/>
      <c r="Y147" s="36">
        <v>1</v>
      </c>
      <c r="Z147" s="36"/>
      <c r="AA147" s="36"/>
      <c r="AB147" s="11">
        <f t="shared" si="14"/>
        <v>1</v>
      </c>
    </row>
    <row r="148" spans="1:28" ht="21.9" customHeight="1">
      <c r="A148" s="53" t="s">
        <v>287</v>
      </c>
      <c r="B148" s="42" t="str">
        <f>IFERROR(CONCATENATE(A148,". ",VLOOKUP(A148,'results, prods y acts'!$A$2:$B$8,2,FALSE)),"")</f>
        <v>CB. Conservación de la Biodiversidad y Lucha contra el Cambio Climático</v>
      </c>
      <c r="C148" s="42" t="s">
        <v>583</v>
      </c>
      <c r="D148" s="42" t="str">
        <f>IFERROR(CONCATENATE(C148,". ",VLOOKUP(C148,'results, prods y acts'!$D$2:$E$12,2,FALSE)),CONCATENATE(C148,". "))</f>
        <v xml:space="preserve">P6. </v>
      </c>
      <c r="E148" s="42"/>
      <c r="F148" s="42" t="str">
        <f>IFERROR(CONCATENATE(E148,". ",VLOOKUP(E148,'results, prods y acts'!$G$2:$H$16,2,FALSE)),"")</f>
        <v/>
      </c>
      <c r="G148" s="20" t="s">
        <v>136</v>
      </c>
      <c r="H148" s="40" t="s">
        <v>460</v>
      </c>
      <c r="I148" s="15" t="s">
        <v>305</v>
      </c>
      <c r="J148" s="15" t="s">
        <v>461</v>
      </c>
      <c r="K148" s="7" t="str">
        <f t="shared" si="13"/>
        <v>CB.6.1. Planes de trabajo con entes rectores (SERNANP, OSINFOR, MINAM)</v>
      </c>
      <c r="L148" s="34" t="s">
        <v>462</v>
      </c>
      <c r="M148" s="34" t="s">
        <v>463</v>
      </c>
      <c r="N148" s="34" t="s">
        <v>463</v>
      </c>
      <c r="O148" s="7" t="s">
        <v>502</v>
      </c>
      <c r="P148" s="34"/>
      <c r="Q148" s="34">
        <v>2</v>
      </c>
      <c r="R148" s="34"/>
      <c r="S148" s="34"/>
      <c r="T148" s="34"/>
      <c r="U148" s="34">
        <v>1</v>
      </c>
      <c r="V148" s="34"/>
      <c r="W148" s="34"/>
      <c r="X148" s="34"/>
      <c r="Y148" s="34"/>
      <c r="Z148" s="34"/>
      <c r="AA148" s="34"/>
      <c r="AB148" s="11">
        <f t="shared" si="14"/>
        <v>3</v>
      </c>
    </row>
    <row r="149" spans="1:28" ht="25.5" customHeight="1">
      <c r="A149" s="78" t="s">
        <v>287</v>
      </c>
      <c r="B149" s="42" t="str">
        <f>IFERROR(CONCATENATE(A149,". ",VLOOKUP(A149,'results, prods y acts'!$A$2:$B$8,2,FALSE)),"")</f>
        <v>CB. Conservación de la Biodiversidad y Lucha contra el Cambio Climático</v>
      </c>
      <c r="C149" s="42" t="s">
        <v>583</v>
      </c>
      <c r="D149" s="42" t="str">
        <f>IFERROR(CONCATENATE(C149,". ",VLOOKUP(C149,'results, prods y acts'!$D$2:$E$12,2,FALSE)),CONCATENATE(C149,". "))</f>
        <v xml:space="preserve">P6. </v>
      </c>
      <c r="E149" s="42"/>
      <c r="F149" s="42" t="str">
        <f>IFERROR(CONCATENATE(E149,". ",VLOOKUP(E149,'results, prods y acts'!$G$2:$H$16,2,FALSE)),"")</f>
        <v/>
      </c>
      <c r="G149" s="20" t="s">
        <v>136</v>
      </c>
      <c r="H149" s="40" t="s">
        <v>464</v>
      </c>
      <c r="I149" s="15" t="s">
        <v>306</v>
      </c>
      <c r="J149" s="15" t="s">
        <v>465</v>
      </c>
      <c r="K149" s="7" t="str">
        <f t="shared" si="13"/>
        <v>CB.6.2. Planes de trabajo articulados con organizaciones de sociedad civil (Red de ACR/AFF, Programas de SECO)</v>
      </c>
      <c r="L149" s="34" t="s">
        <v>462</v>
      </c>
      <c r="M149" s="34" t="s">
        <v>463</v>
      </c>
      <c r="N149" s="34" t="s">
        <v>463</v>
      </c>
      <c r="O149" s="7" t="s">
        <v>348</v>
      </c>
      <c r="P149" s="36"/>
      <c r="Q149" s="36">
        <v>1</v>
      </c>
      <c r="R149" s="36"/>
      <c r="S149" s="36"/>
      <c r="T149" s="36"/>
      <c r="U149" s="36">
        <v>1</v>
      </c>
      <c r="V149" s="36"/>
      <c r="W149" s="36"/>
      <c r="X149" s="36"/>
      <c r="Y149" s="36"/>
      <c r="Z149" s="36"/>
      <c r="AA149" s="36"/>
      <c r="AB149" s="11">
        <f t="shared" si="14"/>
        <v>2</v>
      </c>
    </row>
  </sheetData>
  <phoneticPr fontId="3" type="noConversion"/>
  <conditionalFormatting sqref="P2:AA112">
    <cfRule type="cellIs" dxfId="2" priority="3" operator="greaterThan">
      <formula>0</formula>
    </cfRule>
    <cfRule type="cellIs" dxfId="1" priority="4" operator="greaterThan">
      <formula>0</formula>
    </cfRule>
  </conditionalFormatting>
  <conditionalFormatting sqref="P113:AA134 P135:AB139 P140:AA149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CF00-F8FD-4388-93B6-E97238F059F0}">
  <sheetPr>
    <outlinePr summaryBelow="0" summaryRight="0"/>
  </sheetPr>
  <dimension ref="A1:AO7"/>
  <sheetViews>
    <sheetView tabSelected="1" zoomScale="59" zoomScaleNormal="12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44140625" defaultRowHeight="21.9" customHeight="1"/>
  <cols>
    <col min="1" max="1" width="16.44140625" style="1" customWidth="1"/>
    <col min="2" max="8" width="20.77734375" style="1" customWidth="1"/>
    <col min="9" max="9" width="10.5546875" style="42" customWidth="1"/>
    <col min="10" max="11" width="59.33203125" style="8" customWidth="1"/>
    <col min="12" max="12" width="32.33203125" style="1" customWidth="1"/>
    <col min="13" max="13" width="19.109375" style="1" customWidth="1"/>
    <col min="14" max="14" width="21.6640625" style="1" customWidth="1"/>
    <col min="15" max="15" width="45.33203125" style="6" customWidth="1"/>
    <col min="16" max="27" width="5.109375" style="9" customWidth="1"/>
    <col min="28" max="28" width="9.44140625" style="9" customWidth="1"/>
    <col min="29" max="29" width="5.88671875" style="3" customWidth="1"/>
    <col min="30" max="16384" width="12.44140625" style="3"/>
  </cols>
  <sheetData>
    <row r="1" spans="1:41" customFormat="1" ht="21.75" customHeight="1" thickBot="1">
      <c r="A1" s="74" t="s">
        <v>879</v>
      </c>
      <c r="B1" s="75" t="s">
        <v>560</v>
      </c>
      <c r="C1" s="74" t="s">
        <v>880</v>
      </c>
      <c r="D1" s="75" t="s">
        <v>561</v>
      </c>
      <c r="E1" s="74" t="s">
        <v>881</v>
      </c>
      <c r="F1" s="75" t="s">
        <v>562</v>
      </c>
      <c r="G1" s="74" t="s">
        <v>882</v>
      </c>
      <c r="H1" s="75" t="s">
        <v>883</v>
      </c>
      <c r="I1" s="74" t="s">
        <v>884</v>
      </c>
      <c r="J1" s="75" t="s">
        <v>885</v>
      </c>
      <c r="K1" s="75" t="s">
        <v>886</v>
      </c>
      <c r="L1" s="74" t="s">
        <v>0</v>
      </c>
      <c r="M1" s="75" t="s">
        <v>887</v>
      </c>
      <c r="N1" s="74" t="s">
        <v>1</v>
      </c>
      <c r="O1" s="74" t="s">
        <v>2</v>
      </c>
      <c r="P1" s="76" t="s">
        <v>888</v>
      </c>
      <c r="Q1" s="76" t="s">
        <v>889</v>
      </c>
      <c r="R1" s="76" t="s">
        <v>890</v>
      </c>
      <c r="S1" s="76" t="s">
        <v>891</v>
      </c>
      <c r="T1" s="76" t="s">
        <v>892</v>
      </c>
      <c r="U1" s="76" t="s">
        <v>893</v>
      </c>
      <c r="V1" s="76" t="s">
        <v>894</v>
      </c>
      <c r="W1" s="76" t="s">
        <v>895</v>
      </c>
      <c r="X1" s="76" t="s">
        <v>896</v>
      </c>
      <c r="Y1" s="76" t="s">
        <v>897</v>
      </c>
      <c r="Z1" s="76" t="s">
        <v>898</v>
      </c>
      <c r="AA1" s="76" t="s">
        <v>899</v>
      </c>
      <c r="AB1" s="76" t="s">
        <v>900</v>
      </c>
      <c r="AC1" s="77" t="s">
        <v>901</v>
      </c>
      <c r="AD1" s="77" t="s">
        <v>902</v>
      </c>
      <c r="AE1" s="77" t="s">
        <v>903</v>
      </c>
      <c r="AF1" s="77" t="s">
        <v>904</v>
      </c>
      <c r="AG1" s="77" t="s">
        <v>905</v>
      </c>
      <c r="AH1" s="77" t="s">
        <v>906</v>
      </c>
      <c r="AI1" s="77" t="s">
        <v>907</v>
      </c>
      <c r="AJ1" s="77" t="s">
        <v>908</v>
      </c>
      <c r="AK1" s="77" t="s">
        <v>909</v>
      </c>
      <c r="AL1" s="77" t="s">
        <v>910</v>
      </c>
      <c r="AM1" s="77" t="s">
        <v>911</v>
      </c>
      <c r="AN1" s="77" t="s">
        <v>912</v>
      </c>
      <c r="AO1" s="77" t="s">
        <v>913</v>
      </c>
    </row>
    <row r="2" spans="1:41" ht="21.9" customHeight="1" thickBot="1">
      <c r="A2" s="4" t="s">
        <v>310</v>
      </c>
      <c r="B2" s="42" t="str">
        <f>IFERROR(CONCATENATE(A2,". ",VLOOKUP(A2,'results, prods y acts'!$A$2:$B$8,2,FALSE)),"")</f>
        <v>D1. Los procesos estratégicos y de soporte se realizan de forma eficaz y eficiente</v>
      </c>
      <c r="C2" s="5" t="s">
        <v>315</v>
      </c>
      <c r="D2" s="42" t="str">
        <f>IFERROR(CONCATENATE(C2,". ",VLOOKUP(C2,'results, prods y acts'!$D$2:$E$12,2,FALSE)),CONCATENATE(C2,". "))</f>
        <v>D1.1. Informes semestrales</v>
      </c>
      <c r="E2" s="42"/>
      <c r="F2" s="42"/>
      <c r="G2" s="42"/>
      <c r="H2" s="42"/>
      <c r="I2" s="7" t="s">
        <v>319</v>
      </c>
      <c r="J2" s="7" t="s">
        <v>261</v>
      </c>
      <c r="K2" s="7" t="str">
        <f>CONCATENATE(I2,". ",J2)</f>
        <v>D1.1.1. Envío a SECO</v>
      </c>
      <c r="L2" s="33" t="s">
        <v>262</v>
      </c>
      <c r="M2" s="33" t="s">
        <v>41</v>
      </c>
      <c r="N2" s="33" t="s">
        <v>263</v>
      </c>
      <c r="O2" s="7" t="s">
        <v>264</v>
      </c>
      <c r="Q2" s="9">
        <v>1</v>
      </c>
      <c r="W2" s="9">
        <v>1</v>
      </c>
      <c r="AB2" s="11">
        <f>SUM(P2:AA2)</f>
        <v>2</v>
      </c>
    </row>
    <row r="3" spans="1:41" ht="21.9" customHeight="1">
      <c r="A3" s="4" t="s">
        <v>310</v>
      </c>
      <c r="B3" s="42" t="str">
        <f>IFERROR(CONCATENATE(A3,". ",VLOOKUP(A3,'results, prods y acts'!$A$2:$B$8,2,FALSE)),"")</f>
        <v>D1. Los procesos estratégicos y de soporte se realizan de forma eficaz y eficiente</v>
      </c>
      <c r="C3" s="5" t="s">
        <v>315</v>
      </c>
      <c r="D3" s="42" t="str">
        <f>IFERROR(CONCATENATE(C3,". ",VLOOKUP(C3,'results, prods y acts'!$D$2:$E$12,2,FALSE)),CONCATENATE(C3,". "))</f>
        <v>D1.1. Informes semestrales</v>
      </c>
      <c r="E3" s="42"/>
      <c r="F3" s="42"/>
      <c r="G3" s="42"/>
      <c r="H3" s="42"/>
      <c r="I3" s="7" t="s">
        <v>320</v>
      </c>
      <c r="J3" s="12" t="s">
        <v>265</v>
      </c>
      <c r="K3" s="7" t="str">
        <f t="shared" ref="K3:K4" si="0">CONCATENATE(I3,". ",J3)</f>
        <v>D1.1.2. Absolución de comentarios</v>
      </c>
      <c r="L3" s="33" t="s">
        <v>266</v>
      </c>
      <c r="M3" s="33" t="s">
        <v>41</v>
      </c>
      <c r="N3" s="33" t="s">
        <v>263</v>
      </c>
      <c r="O3" s="7" t="s">
        <v>264</v>
      </c>
      <c r="Q3" s="9">
        <v>1</v>
      </c>
      <c r="W3" s="9">
        <v>1</v>
      </c>
      <c r="AB3" s="11">
        <f>SUM(P3:AA3)</f>
        <v>2</v>
      </c>
    </row>
    <row r="4" spans="1:41" ht="21.75" customHeight="1">
      <c r="A4" s="18" t="s">
        <v>3</v>
      </c>
      <c r="B4" s="42" t="str">
        <f>IFERROR(CONCATENATE(A4,". ",VLOOKUP(A4,'results, prods y acts'!$A$2:$B$8,2,FALSE)),"")</f>
        <v>R1. Los procesos de gestión de gasto corriente vinculados a los servicios básicos priorizados a cargo de los GSN son más eficaces y eficientes</v>
      </c>
      <c r="C4" s="21" t="s">
        <v>37</v>
      </c>
      <c r="D4" s="42" t="str">
        <f>IFERROR(CONCATENATE(C4,". ",VLOOKUP(C4,'results, prods y acts'!$D$2:$E$12,2,FALSE)),CONCATENATE(C4,". "))</f>
        <v>P2. Fortalecimiento de capacidades</v>
      </c>
      <c r="E4" s="42" t="str" cm="1">
        <f t="array" ref="E4">IFERROR(INDEX(_xlfn.TEXTSPLIT(I4,"."),2)&amp;"."&amp;INDEX(_xlfn.TEXTSPLIT(I4,"."),3),"")</f>
        <v>P2.1</v>
      </c>
      <c r="F4" s="42" t="str">
        <f>IFERROR(CONCATENATE(E4,". ",VLOOKUP(E4,'results, prods y acts'!$G$2:$H$16,2,FALSE)),"")</f>
        <v>P2.1. Cursos</v>
      </c>
      <c r="G4" s="20" t="s">
        <v>4</v>
      </c>
      <c r="H4" s="20"/>
      <c r="I4" s="28" t="s">
        <v>525</v>
      </c>
      <c r="J4" s="12" t="s">
        <v>523</v>
      </c>
      <c r="K4" s="7" t="str">
        <f t="shared" si="0"/>
        <v>R1.P2.1.2. Curso en Instrumentos de Sostenibilidad Financiera</v>
      </c>
      <c r="L4" s="33" t="s">
        <v>81</v>
      </c>
      <c r="M4" s="33" t="s">
        <v>52</v>
      </c>
      <c r="N4" s="33" t="s">
        <v>41</v>
      </c>
      <c r="O4" s="7" t="s">
        <v>524</v>
      </c>
      <c r="P4" s="25"/>
      <c r="Q4" s="25">
        <v>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11">
        <f>SUM(P4:AA4)</f>
        <v>1</v>
      </c>
    </row>
    <row r="5" spans="1:41" ht="27.75" customHeight="1">
      <c r="A5" s="53" t="s">
        <v>287</v>
      </c>
      <c r="B5" s="42" t="str">
        <f>IFERROR(CONCATENATE(A5,". ",VLOOKUP(A5,'results, prods y acts'!$A$2:$B$8,2,FALSE)),"")</f>
        <v>CB. Conservación de la Biodiversidad y Lucha contra el Cambio Climático</v>
      </c>
      <c r="C5" s="39" t="s">
        <v>53</v>
      </c>
      <c r="D5" s="42" t="str">
        <f>IFERROR(CONCATENATE(C5,". ",VLOOKUP(C5,'results, prods y acts'!$D$2:$E$12,2,FALSE)),CONCATENATE(C5,". "))</f>
        <v>P3. Instrumentos de mejora de la gestión</v>
      </c>
      <c r="E5" s="42" t="str" cm="1">
        <f t="array" ref="E5">IFERROR(INDEX(_xlfn.TEXTSPLIT(I5,"."),2)&amp;"."&amp;INDEX(_xlfn.TEXTSPLIT(I5,"."),3),"")</f>
        <v>P3.5</v>
      </c>
      <c r="F5" s="42" t="str">
        <f>IFERROR(CONCATENATE(E5,". ",VLOOKUP(E5,'results, prods y acts'!$G$2:$H$16,2,FALSE)),"")</f>
        <v>P3.5. Propuesta de modificación técnico-administrativa a nivel sectorial</v>
      </c>
      <c r="G5" s="20" t="s">
        <v>4</v>
      </c>
      <c r="H5" s="20"/>
      <c r="I5" s="15" t="s">
        <v>555</v>
      </c>
      <c r="J5" s="8" t="s">
        <v>423</v>
      </c>
      <c r="K5" s="7" t="str">
        <f t="shared" ref="K5:K7" si="1">CONCATENATE(I5,". ",J5)</f>
        <v>CB.P3.5.1. Guía para la entrega de los servicios de vigilancia y control, en las fases de monitoreo y retroalimentación</v>
      </c>
      <c r="L5" s="34" t="s">
        <v>344</v>
      </c>
      <c r="M5" s="34" t="s">
        <v>56</v>
      </c>
      <c r="N5" s="36" t="s">
        <v>427</v>
      </c>
      <c r="O5" s="43" t="s">
        <v>430</v>
      </c>
      <c r="P5" s="56"/>
      <c r="Q5" s="56"/>
      <c r="R5" s="56">
        <v>1</v>
      </c>
      <c r="S5" s="56"/>
      <c r="T5" s="56"/>
      <c r="U5" s="56"/>
      <c r="V5" s="56"/>
      <c r="W5" s="56"/>
      <c r="X5" s="56"/>
      <c r="Y5" s="56"/>
      <c r="Z5" s="56"/>
      <c r="AA5" s="56"/>
      <c r="AB5" s="56">
        <f t="shared" ref="AB5:AB7" si="2">SUM(P5:AA5)</f>
        <v>1</v>
      </c>
    </row>
    <row r="6" spans="1:41" ht="21.9" customHeight="1">
      <c r="A6" s="53" t="s">
        <v>287</v>
      </c>
      <c r="B6" s="42" t="str">
        <f>IFERROR(CONCATENATE(A6,". ",VLOOKUP(A6,'results, prods y acts'!$A$2:$B$8,2,FALSE)),"")</f>
        <v>CB. Conservación de la Biodiversidad y Lucha contra el Cambio Climático</v>
      </c>
      <c r="C6" s="39" t="s">
        <v>76</v>
      </c>
      <c r="D6" s="42" t="str">
        <f>IFERROR(CONCATENATE(C6,". ",VLOOKUP(C6,'results, prods y acts'!$D$2:$E$12,2,FALSE)),CONCATENATE(C6,". "))</f>
        <v>P5. Instrumentos de Gestión del Conocimiento (Publicaciones)</v>
      </c>
      <c r="E6" s="42" t="str" cm="1">
        <f t="array" ref="E6">IFERROR(INDEX(_xlfn.TEXTSPLIT(I6,"."),2)&amp;"."&amp;INDEX(_xlfn.TEXTSPLIT(I6,"."),3),"")</f>
        <v>P5.2</v>
      </c>
      <c r="F6" s="42" t="str">
        <f>IFERROR(CONCATENATE(E6,". ",VLOOKUP(E6,'results, prods y acts'!$G$2:$H$16,2,FALSE)),"")</f>
        <v>P5.2. Documentos de buenas prácticas y lecciones aprendidas</v>
      </c>
      <c r="G6" s="20" t="s">
        <v>4</v>
      </c>
      <c r="H6" s="20"/>
      <c r="I6" s="6" t="s">
        <v>453</v>
      </c>
      <c r="J6" s="8" t="s">
        <v>454</v>
      </c>
      <c r="K6" s="7" t="str">
        <f t="shared" si="1"/>
        <v>CB.P5.2.1. Documento de Buenas practicas en el uso del Mapa de Actores</v>
      </c>
      <c r="L6" s="1" t="s">
        <v>455</v>
      </c>
      <c r="M6" s="1" t="s">
        <v>56</v>
      </c>
      <c r="N6" s="36" t="s">
        <v>456</v>
      </c>
      <c r="O6" s="6" t="s">
        <v>459</v>
      </c>
      <c r="P6" s="36"/>
      <c r="Q6" s="36"/>
      <c r="R6" s="36"/>
      <c r="S6" s="36"/>
      <c r="T6" s="36"/>
      <c r="U6" s="36"/>
      <c r="V6" s="36"/>
      <c r="W6" s="36"/>
      <c r="X6" s="36"/>
      <c r="Y6" s="36">
        <v>1</v>
      </c>
      <c r="Z6" s="36"/>
      <c r="AA6" s="36"/>
      <c r="AB6" s="11">
        <f t="shared" si="2"/>
        <v>1</v>
      </c>
    </row>
    <row r="7" spans="1:41" ht="21.9" customHeight="1">
      <c r="A7" s="53" t="s">
        <v>287</v>
      </c>
      <c r="B7" s="42" t="str">
        <f>IFERROR(CONCATENATE(A7,". ",VLOOKUP(A7,'results, prods y acts'!$A$2:$B$8,2,FALSE)),"")</f>
        <v>CB. Conservación de la Biodiversidad y Lucha contra el Cambio Climático</v>
      </c>
      <c r="C7" s="42" t="s">
        <v>583</v>
      </c>
      <c r="D7" s="42" t="str">
        <f>IFERROR(CONCATENATE(C7,". ",VLOOKUP(C7,'results, prods y acts'!$D$2:$E$12,2,FALSE)),CONCATENATE(C7,". "))</f>
        <v xml:space="preserve">P6. </v>
      </c>
      <c r="E7" s="42"/>
      <c r="F7" s="42" t="str">
        <f>IFERROR(CONCATENATE(E7,". ",VLOOKUP(E7,'results, prods y acts'!$G$2:$H$16,2,FALSE)),"")</f>
        <v/>
      </c>
      <c r="G7" s="20" t="s">
        <v>136</v>
      </c>
      <c r="H7" s="40" t="s">
        <v>460</v>
      </c>
      <c r="I7" s="15" t="s">
        <v>305</v>
      </c>
      <c r="J7" s="15" t="s">
        <v>461</v>
      </c>
      <c r="K7" s="7" t="str">
        <f t="shared" si="1"/>
        <v>CB.6.1. Planes de trabajo con entes rectores (SERNANP, OSINFOR, MINAM)</v>
      </c>
      <c r="L7" s="34" t="s">
        <v>462</v>
      </c>
      <c r="M7" s="34" t="s">
        <v>463</v>
      </c>
      <c r="N7" s="34" t="s">
        <v>463</v>
      </c>
      <c r="O7" s="7" t="s">
        <v>502</v>
      </c>
      <c r="P7" s="34"/>
      <c r="Q7" s="34">
        <v>2</v>
      </c>
      <c r="R7" s="34"/>
      <c r="S7" s="34"/>
      <c r="T7" s="34"/>
      <c r="U7" s="34">
        <v>1</v>
      </c>
      <c r="V7" s="34"/>
      <c r="W7" s="34"/>
      <c r="X7" s="34"/>
      <c r="Y7" s="34"/>
      <c r="Z7" s="34"/>
      <c r="AA7" s="34"/>
      <c r="AB7" s="11">
        <f t="shared" si="2"/>
        <v>3</v>
      </c>
    </row>
  </sheetData>
  <conditionalFormatting sqref="P2:AA4">
    <cfRule type="cellIs" dxfId="5" priority="2" operator="greaterThan">
      <formula>0</formula>
    </cfRule>
    <cfRule type="cellIs" dxfId="4" priority="3" operator="greaterThan">
      <formula>0</formula>
    </cfRule>
  </conditionalFormatting>
  <conditionalFormatting sqref="P5:AB5 P6:AA7">
    <cfRule type="cellIs" dxfId="3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9C0C-7F6F-43B6-810C-365519E4C1EA}">
  <dimension ref="A1:H16"/>
  <sheetViews>
    <sheetView zoomScale="83" workbookViewId="0">
      <selection activeCell="G11" sqref="G11"/>
    </sheetView>
  </sheetViews>
  <sheetFormatPr baseColWidth="10" defaultColWidth="10.77734375" defaultRowHeight="13.2"/>
  <cols>
    <col min="1" max="1" width="10.77734375" style="50"/>
    <col min="2" max="2" width="41.77734375" style="50" customWidth="1"/>
    <col min="3" max="4" width="10.77734375" style="50"/>
    <col min="5" max="5" width="50.77734375" style="50" bestFit="1" customWidth="1"/>
    <col min="6" max="7" width="10.77734375" style="50"/>
    <col min="8" max="8" width="44.21875" style="50" customWidth="1"/>
    <col min="9" max="16384" width="10.77734375" style="49"/>
  </cols>
  <sheetData>
    <row r="1" spans="1:8" ht="13.8" thickBot="1">
      <c r="A1" s="57" t="s">
        <v>559</v>
      </c>
      <c r="B1" s="57" t="s">
        <v>560</v>
      </c>
      <c r="C1" s="49"/>
      <c r="D1" s="57" t="s">
        <v>559</v>
      </c>
      <c r="E1" s="57" t="s">
        <v>561</v>
      </c>
      <c r="G1" s="57" t="s">
        <v>559</v>
      </c>
      <c r="H1" s="57" t="s">
        <v>562</v>
      </c>
    </row>
    <row r="2" spans="1:8">
      <c r="A2" s="58" t="s">
        <v>310</v>
      </c>
      <c r="B2" s="4" t="s">
        <v>311</v>
      </c>
      <c r="D2" s="58" t="s">
        <v>315</v>
      </c>
      <c r="E2" s="5" t="s">
        <v>260</v>
      </c>
      <c r="G2" s="59" t="s">
        <v>563</v>
      </c>
      <c r="H2" s="59" t="s">
        <v>65</v>
      </c>
    </row>
    <row r="3" spans="1:8">
      <c r="A3" s="58" t="s">
        <v>3</v>
      </c>
      <c r="B3" s="19" t="s">
        <v>312</v>
      </c>
      <c r="D3" s="58" t="s">
        <v>316</v>
      </c>
      <c r="E3" s="5" t="s">
        <v>267</v>
      </c>
      <c r="G3" s="59" t="s">
        <v>564</v>
      </c>
      <c r="H3" s="59" t="s">
        <v>9</v>
      </c>
    </row>
    <row r="4" spans="1:8">
      <c r="A4" s="58" t="s">
        <v>98</v>
      </c>
      <c r="B4" s="45" t="s">
        <v>313</v>
      </c>
      <c r="D4" s="58" t="s">
        <v>317</v>
      </c>
      <c r="E4" s="5" t="s">
        <v>272</v>
      </c>
      <c r="G4" s="59" t="s">
        <v>565</v>
      </c>
      <c r="H4" s="59" t="s">
        <v>566</v>
      </c>
    </row>
    <row r="5" spans="1:8">
      <c r="A5" s="58" t="s">
        <v>139</v>
      </c>
      <c r="B5" s="19" t="s">
        <v>489</v>
      </c>
      <c r="D5" s="58" t="s">
        <v>318</v>
      </c>
      <c r="E5" s="5" t="s">
        <v>278</v>
      </c>
      <c r="G5" s="59" t="s">
        <v>567</v>
      </c>
      <c r="H5" s="59" t="s">
        <v>568</v>
      </c>
    </row>
    <row r="6" spans="1:8">
      <c r="A6" s="58" t="s">
        <v>190</v>
      </c>
      <c r="B6" s="19" t="s">
        <v>314</v>
      </c>
      <c r="D6" s="58" t="s">
        <v>324</v>
      </c>
      <c r="E6" s="5" t="s">
        <v>281</v>
      </c>
      <c r="G6" s="59" t="s">
        <v>569</v>
      </c>
      <c r="H6" s="59" t="s">
        <v>120</v>
      </c>
    </row>
    <row r="7" spans="1:8">
      <c r="A7" s="58" t="s">
        <v>227</v>
      </c>
      <c r="B7" s="18" t="s">
        <v>228</v>
      </c>
      <c r="D7" s="58" t="s">
        <v>325</v>
      </c>
      <c r="E7" s="5" t="s">
        <v>284</v>
      </c>
      <c r="G7" s="59" t="s">
        <v>570</v>
      </c>
      <c r="H7" s="59" t="s">
        <v>571</v>
      </c>
    </row>
    <row r="8" spans="1:8" ht="24">
      <c r="A8" s="58" t="s">
        <v>287</v>
      </c>
      <c r="B8" s="54" t="s">
        <v>367</v>
      </c>
      <c r="D8" s="58" t="s">
        <v>5</v>
      </c>
      <c r="E8" s="58" t="s">
        <v>6</v>
      </c>
      <c r="G8" s="59" t="s">
        <v>572</v>
      </c>
      <c r="H8" s="59" t="s">
        <v>573</v>
      </c>
    </row>
    <row r="9" spans="1:8">
      <c r="D9" s="58" t="s">
        <v>37</v>
      </c>
      <c r="E9" s="58" t="s">
        <v>38</v>
      </c>
      <c r="G9" s="59" t="s">
        <v>574</v>
      </c>
      <c r="H9" s="59" t="s">
        <v>36</v>
      </c>
    </row>
    <row r="10" spans="1:8">
      <c r="D10" s="58" t="s">
        <v>53</v>
      </c>
      <c r="E10" s="58" t="s">
        <v>169</v>
      </c>
      <c r="G10" s="59" t="s">
        <v>575</v>
      </c>
      <c r="H10" s="60" t="s">
        <v>576</v>
      </c>
    </row>
    <row r="11" spans="1:8" ht="26.4">
      <c r="D11" s="58" t="s">
        <v>64</v>
      </c>
      <c r="E11" s="59" t="s">
        <v>577</v>
      </c>
      <c r="G11" s="59" t="s">
        <v>578</v>
      </c>
      <c r="H11" s="59" t="s">
        <v>579</v>
      </c>
    </row>
    <row r="12" spans="1:8">
      <c r="D12" s="58" t="s">
        <v>76</v>
      </c>
      <c r="E12" s="59" t="s">
        <v>580</v>
      </c>
      <c r="G12" s="59" t="s">
        <v>581</v>
      </c>
      <c r="H12" s="59" t="s">
        <v>582</v>
      </c>
    </row>
    <row r="13" spans="1:8">
      <c r="D13" s="58" t="s">
        <v>583</v>
      </c>
      <c r="E13" s="58"/>
      <c r="G13" s="59" t="s">
        <v>584</v>
      </c>
      <c r="H13" s="59" t="s">
        <v>585</v>
      </c>
    </row>
    <row r="14" spans="1:8">
      <c r="G14" s="59" t="s">
        <v>586</v>
      </c>
      <c r="H14" s="59" t="s">
        <v>587</v>
      </c>
    </row>
    <row r="15" spans="1:8" ht="26.4">
      <c r="G15" s="59" t="s">
        <v>588</v>
      </c>
      <c r="H15" s="59" t="s">
        <v>589</v>
      </c>
    </row>
    <row r="16" spans="1:8">
      <c r="G16" s="59" t="s">
        <v>590</v>
      </c>
      <c r="H16" s="59" t="s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02CA-09D1-4464-BFF5-44745092D3B2}">
  <dimension ref="A1:L36"/>
  <sheetViews>
    <sheetView zoomScale="72" workbookViewId="0">
      <pane ySplit="1" topLeftCell="A2" activePane="bottomLeft" state="frozen"/>
      <selection pane="bottomLeft" activeCell="D31" sqref="D31"/>
    </sheetView>
  </sheetViews>
  <sheetFormatPr baseColWidth="10" defaultRowHeight="13.2"/>
  <cols>
    <col min="1" max="1" width="18" bestFit="1" customWidth="1"/>
    <col min="2" max="2" width="9.109375" customWidth="1"/>
    <col min="3" max="4" width="18" customWidth="1"/>
    <col min="5" max="5" width="10" bestFit="1" customWidth="1"/>
    <col min="6" max="6" width="27" bestFit="1" customWidth="1"/>
    <col min="7" max="7" width="28.77734375" bestFit="1" customWidth="1"/>
    <col min="8" max="8" width="10.21875" bestFit="1" customWidth="1"/>
    <col min="9" max="9" width="28.77734375" bestFit="1" customWidth="1"/>
    <col min="10" max="10" width="20.5546875" customWidth="1"/>
    <col min="11" max="11" width="31" customWidth="1"/>
    <col min="12" max="12" width="28.21875" customWidth="1"/>
  </cols>
  <sheetData>
    <row r="1" spans="1:12">
      <c r="A1" s="61" t="s">
        <v>592</v>
      </c>
      <c r="B1" s="61" t="s">
        <v>593</v>
      </c>
      <c r="C1" s="61" t="s">
        <v>594</v>
      </c>
      <c r="D1" s="61" t="s">
        <v>595</v>
      </c>
      <c r="E1" s="61" t="s">
        <v>596</v>
      </c>
      <c r="F1" s="61" t="s">
        <v>597</v>
      </c>
      <c r="G1" s="61" t="s">
        <v>598</v>
      </c>
      <c r="H1" s="61" t="s">
        <v>560</v>
      </c>
      <c r="I1" s="61" t="s">
        <v>599</v>
      </c>
      <c r="J1" s="61" t="s">
        <v>600</v>
      </c>
      <c r="K1" s="61" t="s">
        <v>601</v>
      </c>
      <c r="L1" s="61" t="s">
        <v>602</v>
      </c>
    </row>
    <row r="2" spans="1:12">
      <c r="A2" s="62" t="s">
        <v>603</v>
      </c>
      <c r="B2" s="62" t="s">
        <v>604</v>
      </c>
      <c r="C2" s="63" t="s">
        <v>604</v>
      </c>
      <c r="D2" s="62" t="s">
        <v>605</v>
      </c>
      <c r="E2" s="62" t="s">
        <v>606</v>
      </c>
      <c r="F2" s="62" t="s">
        <v>606</v>
      </c>
      <c r="G2" s="62" t="s">
        <v>607</v>
      </c>
      <c r="H2" s="64" t="s">
        <v>608</v>
      </c>
      <c r="I2" s="62"/>
      <c r="J2" s="62"/>
      <c r="K2" s="62"/>
      <c r="L2" s="62"/>
    </row>
    <row r="3" spans="1:12">
      <c r="A3" s="65" t="s">
        <v>609</v>
      </c>
      <c r="B3" s="65" t="s">
        <v>610</v>
      </c>
      <c r="C3" s="66" t="s">
        <v>611</v>
      </c>
      <c r="D3" s="66" t="s">
        <v>612</v>
      </c>
      <c r="E3" s="65" t="s">
        <v>613</v>
      </c>
      <c r="F3" s="65" t="s">
        <v>614</v>
      </c>
      <c r="G3" s="65" t="s">
        <v>607</v>
      </c>
      <c r="H3" s="65" t="s">
        <v>287</v>
      </c>
      <c r="I3" s="65" t="s">
        <v>615</v>
      </c>
      <c r="J3" s="65"/>
      <c r="K3" s="65" t="s">
        <v>616</v>
      </c>
      <c r="L3" s="65"/>
    </row>
    <row r="4" spans="1:12">
      <c r="A4" s="67" t="s">
        <v>617</v>
      </c>
      <c r="B4" s="65" t="s">
        <v>610</v>
      </c>
      <c r="C4" s="66" t="s">
        <v>618</v>
      </c>
      <c r="D4" s="66" t="s">
        <v>619</v>
      </c>
      <c r="E4" s="65" t="s">
        <v>613</v>
      </c>
      <c r="F4" s="65" t="s">
        <v>614</v>
      </c>
      <c r="G4" s="65" t="s">
        <v>607</v>
      </c>
      <c r="H4" s="67" t="s">
        <v>620</v>
      </c>
      <c r="I4" s="65" t="s">
        <v>615</v>
      </c>
      <c r="J4" s="65"/>
      <c r="K4" s="65" t="s">
        <v>621</v>
      </c>
      <c r="L4" s="65"/>
    </row>
    <row r="5" spans="1:12">
      <c r="A5" s="65" t="s">
        <v>622</v>
      </c>
      <c r="B5" s="65" t="s">
        <v>610</v>
      </c>
      <c r="C5" s="66" t="s">
        <v>623</v>
      </c>
      <c r="D5" s="66" t="s">
        <v>624</v>
      </c>
      <c r="E5" s="65" t="s">
        <v>613</v>
      </c>
      <c r="F5" s="65" t="s">
        <v>625</v>
      </c>
      <c r="G5" s="65" t="s">
        <v>607</v>
      </c>
      <c r="H5" s="65" t="s">
        <v>3</v>
      </c>
      <c r="I5" s="65" t="s">
        <v>615</v>
      </c>
      <c r="J5" s="65" t="s">
        <v>626</v>
      </c>
      <c r="K5" s="65" t="s">
        <v>627</v>
      </c>
      <c r="L5" s="65" t="s">
        <v>628</v>
      </c>
    </row>
    <row r="6" spans="1:12">
      <c r="A6" s="65" t="s">
        <v>629</v>
      </c>
      <c r="B6" s="65" t="s">
        <v>610</v>
      </c>
      <c r="C6" s="66" t="s">
        <v>630</v>
      </c>
      <c r="D6" s="66" t="s">
        <v>631</v>
      </c>
      <c r="E6" s="65" t="s">
        <v>613</v>
      </c>
      <c r="F6" s="65" t="s">
        <v>632</v>
      </c>
      <c r="G6" s="65" t="s">
        <v>607</v>
      </c>
      <c r="H6" s="65" t="s">
        <v>98</v>
      </c>
      <c r="I6" s="65" t="s">
        <v>615</v>
      </c>
      <c r="J6" s="65">
        <v>980449097</v>
      </c>
      <c r="K6" s="65" t="s">
        <v>633</v>
      </c>
      <c r="L6" s="65" t="s">
        <v>634</v>
      </c>
    </row>
    <row r="7" spans="1:12">
      <c r="A7" s="65" t="s">
        <v>635</v>
      </c>
      <c r="B7" s="65" t="s">
        <v>610</v>
      </c>
      <c r="C7" s="66" t="s">
        <v>636</v>
      </c>
      <c r="D7" s="66" t="s">
        <v>637</v>
      </c>
      <c r="E7" s="65" t="s">
        <v>613</v>
      </c>
      <c r="F7" s="65" t="s">
        <v>638</v>
      </c>
      <c r="G7" s="65" t="s">
        <v>607</v>
      </c>
      <c r="H7" s="65" t="s">
        <v>139</v>
      </c>
      <c r="I7" s="65" t="s">
        <v>615</v>
      </c>
      <c r="J7" s="65">
        <v>922756652</v>
      </c>
      <c r="K7" s="65" t="s">
        <v>639</v>
      </c>
      <c r="L7" s="65" t="s">
        <v>640</v>
      </c>
    </row>
    <row r="8" spans="1:12">
      <c r="A8" s="65" t="s">
        <v>641</v>
      </c>
      <c r="B8" s="65" t="s">
        <v>610</v>
      </c>
      <c r="C8" s="66" t="s">
        <v>642</v>
      </c>
      <c r="D8" s="66" t="s">
        <v>643</v>
      </c>
      <c r="E8" s="65" t="s">
        <v>613</v>
      </c>
      <c r="F8" s="65" t="s">
        <v>644</v>
      </c>
      <c r="G8" s="65" t="s">
        <v>607</v>
      </c>
      <c r="H8" s="65" t="s">
        <v>190</v>
      </c>
      <c r="I8" s="65" t="s">
        <v>645</v>
      </c>
      <c r="J8" s="65">
        <v>954693246</v>
      </c>
      <c r="K8" s="65" t="s">
        <v>646</v>
      </c>
      <c r="L8" s="65"/>
    </row>
    <row r="9" spans="1:12">
      <c r="A9" s="65" t="s">
        <v>647</v>
      </c>
      <c r="B9" s="65" t="s">
        <v>610</v>
      </c>
      <c r="C9" s="66" t="s">
        <v>648</v>
      </c>
      <c r="D9" s="66" t="s">
        <v>649</v>
      </c>
      <c r="E9" s="65" t="s">
        <v>650</v>
      </c>
      <c r="F9" s="65" t="s">
        <v>651</v>
      </c>
      <c r="G9" s="65" t="s">
        <v>652</v>
      </c>
      <c r="H9" s="65" t="s">
        <v>227</v>
      </c>
      <c r="I9" s="65" t="s">
        <v>653</v>
      </c>
      <c r="J9" s="65"/>
      <c r="K9" s="65" t="s">
        <v>654</v>
      </c>
      <c r="L9" s="65"/>
    </row>
    <row r="10" spans="1:12">
      <c r="A10" s="55" t="s">
        <v>655</v>
      </c>
      <c r="B10" s="55" t="s">
        <v>610</v>
      </c>
      <c r="C10" s="68" t="s">
        <v>656</v>
      </c>
      <c r="D10" s="68" t="s">
        <v>657</v>
      </c>
      <c r="E10" s="55" t="s">
        <v>613</v>
      </c>
      <c r="F10" s="55"/>
      <c r="G10" s="55"/>
      <c r="H10" s="69" t="s">
        <v>227</v>
      </c>
      <c r="I10" s="55"/>
      <c r="J10" s="55"/>
      <c r="K10" s="70" t="s">
        <v>658</v>
      </c>
      <c r="L10" s="55"/>
    </row>
    <row r="11" spans="1:12">
      <c r="A11" s="55" t="s">
        <v>659</v>
      </c>
      <c r="B11" s="55" t="s">
        <v>610</v>
      </c>
      <c r="C11" s="68" t="s">
        <v>660</v>
      </c>
      <c r="D11" s="68" t="s">
        <v>661</v>
      </c>
      <c r="E11" s="55" t="s">
        <v>613</v>
      </c>
      <c r="F11" s="55" t="s">
        <v>662</v>
      </c>
      <c r="G11" s="55" t="s">
        <v>607</v>
      </c>
      <c r="H11" s="69" t="s">
        <v>318</v>
      </c>
      <c r="I11" s="55" t="s">
        <v>663</v>
      </c>
      <c r="J11" s="55"/>
      <c r="K11" s="55" t="s">
        <v>664</v>
      </c>
      <c r="L11" s="55"/>
    </row>
    <row r="12" spans="1:12">
      <c r="A12" s="55" t="s">
        <v>665</v>
      </c>
      <c r="B12" s="55" t="s">
        <v>610</v>
      </c>
      <c r="C12" s="68" t="s">
        <v>666</v>
      </c>
      <c r="D12" s="68" t="s">
        <v>667</v>
      </c>
      <c r="E12" s="55" t="s">
        <v>613</v>
      </c>
      <c r="F12" s="55" t="s">
        <v>77</v>
      </c>
      <c r="G12" s="55" t="s">
        <v>607</v>
      </c>
      <c r="H12" s="69" t="s">
        <v>325</v>
      </c>
      <c r="I12" s="55" t="s">
        <v>668</v>
      </c>
      <c r="J12" s="55"/>
      <c r="K12" s="71" t="s">
        <v>669</v>
      </c>
      <c r="L12" s="55"/>
    </row>
    <row r="13" spans="1:12">
      <c r="A13" t="s">
        <v>670</v>
      </c>
      <c r="B13" t="s">
        <v>610</v>
      </c>
      <c r="C13" s="72" t="s">
        <v>671</v>
      </c>
      <c r="D13" s="72" t="s">
        <v>672</v>
      </c>
      <c r="E13" t="s">
        <v>673</v>
      </c>
      <c r="F13" t="s">
        <v>638</v>
      </c>
      <c r="G13" t="s">
        <v>473</v>
      </c>
      <c r="H13" t="s">
        <v>139</v>
      </c>
      <c r="I13" t="s">
        <v>615</v>
      </c>
      <c r="J13" t="s">
        <v>674</v>
      </c>
      <c r="K13" t="s">
        <v>675</v>
      </c>
    </row>
    <row r="14" spans="1:12">
      <c r="A14" t="s">
        <v>676</v>
      </c>
      <c r="B14" t="s">
        <v>610</v>
      </c>
      <c r="C14" s="72" t="s">
        <v>677</v>
      </c>
      <c r="D14" s="72" t="s">
        <v>678</v>
      </c>
      <c r="E14" t="s">
        <v>673</v>
      </c>
      <c r="F14" t="s">
        <v>632</v>
      </c>
      <c r="G14" t="s">
        <v>679</v>
      </c>
      <c r="H14" t="s">
        <v>98</v>
      </c>
      <c r="I14" t="s">
        <v>615</v>
      </c>
      <c r="J14">
        <v>980636629</v>
      </c>
      <c r="K14" t="s">
        <v>680</v>
      </c>
      <c r="L14" t="s">
        <v>681</v>
      </c>
    </row>
    <row r="15" spans="1:12">
      <c r="A15" t="s">
        <v>682</v>
      </c>
      <c r="B15" t="s">
        <v>610</v>
      </c>
      <c r="C15" s="72" t="s">
        <v>683</v>
      </c>
      <c r="D15" s="72" t="s">
        <v>684</v>
      </c>
      <c r="E15" t="s">
        <v>673</v>
      </c>
      <c r="F15" t="s">
        <v>632</v>
      </c>
      <c r="G15" t="s">
        <v>685</v>
      </c>
      <c r="H15" t="s">
        <v>98</v>
      </c>
      <c r="I15" t="s">
        <v>615</v>
      </c>
      <c r="J15">
        <v>953911888</v>
      </c>
      <c r="K15" t="s">
        <v>686</v>
      </c>
      <c r="L15" t="s">
        <v>687</v>
      </c>
    </row>
    <row r="16" spans="1:12">
      <c r="A16" t="s">
        <v>688</v>
      </c>
      <c r="B16" t="s">
        <v>610</v>
      </c>
      <c r="C16" s="72" t="s">
        <v>689</v>
      </c>
      <c r="D16" s="72" t="s">
        <v>690</v>
      </c>
      <c r="E16" t="s">
        <v>673</v>
      </c>
      <c r="F16" t="s">
        <v>632</v>
      </c>
      <c r="G16" t="s">
        <v>691</v>
      </c>
      <c r="H16" t="s">
        <v>98</v>
      </c>
      <c r="I16" t="s">
        <v>615</v>
      </c>
      <c r="J16">
        <v>949910756</v>
      </c>
      <c r="K16" t="s">
        <v>692</v>
      </c>
      <c r="L16" t="s">
        <v>693</v>
      </c>
    </row>
    <row r="17" spans="1:12">
      <c r="A17" t="s">
        <v>694</v>
      </c>
      <c r="B17" t="s">
        <v>610</v>
      </c>
      <c r="C17" s="72" t="s">
        <v>695</v>
      </c>
      <c r="D17" s="72" t="s">
        <v>696</v>
      </c>
      <c r="E17" t="s">
        <v>673</v>
      </c>
      <c r="F17" t="s">
        <v>632</v>
      </c>
      <c r="G17" t="s">
        <v>697</v>
      </c>
      <c r="H17" t="s">
        <v>98</v>
      </c>
      <c r="I17" t="s">
        <v>615</v>
      </c>
      <c r="J17">
        <v>965195777</v>
      </c>
      <c r="K17" t="s">
        <v>698</v>
      </c>
      <c r="L17" t="s">
        <v>699</v>
      </c>
    </row>
    <row r="18" spans="1:12">
      <c r="A18" t="s">
        <v>700</v>
      </c>
      <c r="B18" t="s">
        <v>610</v>
      </c>
      <c r="C18" s="72" t="s">
        <v>701</v>
      </c>
      <c r="D18" s="72" t="s">
        <v>702</v>
      </c>
      <c r="E18" t="s">
        <v>673</v>
      </c>
      <c r="F18" t="s">
        <v>625</v>
      </c>
      <c r="G18" t="s">
        <v>685</v>
      </c>
      <c r="H18" t="s">
        <v>3</v>
      </c>
      <c r="I18" t="s">
        <v>615</v>
      </c>
      <c r="J18">
        <v>989244539</v>
      </c>
      <c r="K18" t="s">
        <v>703</v>
      </c>
      <c r="L18" t="s">
        <v>704</v>
      </c>
    </row>
    <row r="19" spans="1:12">
      <c r="A19" t="s">
        <v>705</v>
      </c>
      <c r="B19" t="s">
        <v>610</v>
      </c>
      <c r="C19" s="72" t="s">
        <v>706</v>
      </c>
      <c r="D19" s="72" t="s">
        <v>707</v>
      </c>
      <c r="E19" t="s">
        <v>673</v>
      </c>
      <c r="F19" t="s">
        <v>625</v>
      </c>
      <c r="G19" t="s">
        <v>679</v>
      </c>
      <c r="H19" t="s">
        <v>3</v>
      </c>
      <c r="I19" t="s">
        <v>615</v>
      </c>
      <c r="K19" t="s">
        <v>708</v>
      </c>
    </row>
    <row r="20" spans="1:12">
      <c r="A20" t="s">
        <v>709</v>
      </c>
      <c r="B20" t="s">
        <v>610</v>
      </c>
      <c r="C20" s="72" t="s">
        <v>710</v>
      </c>
      <c r="D20" s="72" t="s">
        <v>711</v>
      </c>
      <c r="E20" t="s">
        <v>673</v>
      </c>
      <c r="F20" t="s">
        <v>638</v>
      </c>
      <c r="G20" t="s">
        <v>712</v>
      </c>
      <c r="H20" t="s">
        <v>139</v>
      </c>
      <c r="I20" t="s">
        <v>615</v>
      </c>
      <c r="K20" t="s">
        <v>713</v>
      </c>
    </row>
    <row r="21" spans="1:12">
      <c r="A21" t="s">
        <v>714</v>
      </c>
      <c r="B21" t="s">
        <v>610</v>
      </c>
      <c r="C21" s="72" t="s">
        <v>715</v>
      </c>
      <c r="D21" s="72" t="s">
        <v>716</v>
      </c>
      <c r="E21" t="s">
        <v>673</v>
      </c>
      <c r="F21" t="s">
        <v>632</v>
      </c>
      <c r="G21" t="s">
        <v>717</v>
      </c>
      <c r="H21" t="s">
        <v>98</v>
      </c>
      <c r="I21" t="s">
        <v>615</v>
      </c>
      <c r="J21">
        <v>945047558</v>
      </c>
      <c r="K21" t="s">
        <v>718</v>
      </c>
      <c r="L21" t="s">
        <v>719</v>
      </c>
    </row>
    <row r="22" spans="1:12">
      <c r="A22" t="s">
        <v>720</v>
      </c>
      <c r="B22" t="s">
        <v>610</v>
      </c>
      <c r="C22" s="72" t="s">
        <v>721</v>
      </c>
      <c r="D22" s="72" t="s">
        <v>722</v>
      </c>
      <c r="E22" t="s">
        <v>673</v>
      </c>
      <c r="F22" t="s">
        <v>625</v>
      </c>
      <c r="G22" t="s">
        <v>691</v>
      </c>
      <c r="H22" t="s">
        <v>3</v>
      </c>
      <c r="I22" t="s">
        <v>615</v>
      </c>
      <c r="J22">
        <v>914819913</v>
      </c>
      <c r="K22" t="s">
        <v>723</v>
      </c>
      <c r="L22" t="s">
        <v>724</v>
      </c>
    </row>
    <row r="23" spans="1:12">
      <c r="A23" t="s">
        <v>725</v>
      </c>
      <c r="B23" t="s">
        <v>610</v>
      </c>
      <c r="C23" s="72" t="s">
        <v>726</v>
      </c>
      <c r="D23" s="72" t="s">
        <v>727</v>
      </c>
      <c r="E23" t="s">
        <v>673</v>
      </c>
      <c r="F23" t="s">
        <v>625</v>
      </c>
      <c r="G23" t="s">
        <v>717</v>
      </c>
      <c r="H23" t="s">
        <v>3</v>
      </c>
      <c r="I23" t="s">
        <v>615</v>
      </c>
      <c r="J23">
        <v>952689761</v>
      </c>
      <c r="K23" t="s">
        <v>728</v>
      </c>
      <c r="L23" t="s">
        <v>729</v>
      </c>
    </row>
    <row r="24" spans="1:12">
      <c r="A24" t="s">
        <v>730</v>
      </c>
      <c r="B24" t="s">
        <v>610</v>
      </c>
      <c r="C24" s="72" t="s">
        <v>731</v>
      </c>
      <c r="D24" s="72" t="s">
        <v>732</v>
      </c>
      <c r="E24" t="s">
        <v>673</v>
      </c>
      <c r="F24" t="s">
        <v>638</v>
      </c>
      <c r="G24" t="s">
        <v>733</v>
      </c>
      <c r="H24" t="s">
        <v>139</v>
      </c>
      <c r="I24" t="s">
        <v>615</v>
      </c>
      <c r="J24">
        <v>949411116</v>
      </c>
      <c r="K24" t="s">
        <v>734</v>
      </c>
    </row>
    <row r="25" spans="1:12">
      <c r="A25" t="s">
        <v>735</v>
      </c>
      <c r="B25" t="s">
        <v>610</v>
      </c>
      <c r="C25" s="72" t="s">
        <v>736</v>
      </c>
      <c r="D25" s="72" t="s">
        <v>737</v>
      </c>
      <c r="E25" t="s">
        <v>673</v>
      </c>
      <c r="F25" t="s">
        <v>632</v>
      </c>
      <c r="G25" t="s">
        <v>738</v>
      </c>
      <c r="H25" t="s">
        <v>98</v>
      </c>
      <c r="I25" t="s">
        <v>615</v>
      </c>
      <c r="K25" t="s">
        <v>739</v>
      </c>
    </row>
    <row r="26" spans="1:12">
      <c r="A26" t="s">
        <v>740</v>
      </c>
      <c r="B26" t="s">
        <v>610</v>
      </c>
      <c r="C26" s="72" t="s">
        <v>741</v>
      </c>
      <c r="D26" s="72" t="s">
        <v>742</v>
      </c>
      <c r="E26" t="s">
        <v>613</v>
      </c>
      <c r="F26" t="s">
        <v>644</v>
      </c>
      <c r="G26" t="s">
        <v>607</v>
      </c>
      <c r="H26" t="s">
        <v>190</v>
      </c>
      <c r="I26" t="s">
        <v>645</v>
      </c>
      <c r="K26" t="s">
        <v>743</v>
      </c>
    </row>
    <row r="27" spans="1:12">
      <c r="A27" t="s">
        <v>744</v>
      </c>
      <c r="B27" t="s">
        <v>610</v>
      </c>
      <c r="C27" s="72" t="s">
        <v>745</v>
      </c>
      <c r="D27" s="72" t="s">
        <v>746</v>
      </c>
      <c r="E27" t="s">
        <v>673</v>
      </c>
      <c r="F27" t="s">
        <v>625</v>
      </c>
      <c r="G27" t="s">
        <v>738</v>
      </c>
      <c r="H27" t="s">
        <v>3</v>
      </c>
      <c r="I27" t="s">
        <v>615</v>
      </c>
      <c r="J27">
        <v>981800598</v>
      </c>
      <c r="K27" t="s">
        <v>747</v>
      </c>
      <c r="L27" t="s">
        <v>748</v>
      </c>
    </row>
    <row r="28" spans="1:12">
      <c r="A28" t="s">
        <v>749</v>
      </c>
      <c r="B28" t="s">
        <v>610</v>
      </c>
      <c r="C28" s="72" t="s">
        <v>750</v>
      </c>
      <c r="D28" s="72" t="s">
        <v>751</v>
      </c>
      <c r="E28" t="s">
        <v>673</v>
      </c>
      <c r="F28" t="s">
        <v>625</v>
      </c>
      <c r="G28" t="s">
        <v>697</v>
      </c>
      <c r="H28" t="s">
        <v>3</v>
      </c>
      <c r="I28" t="s">
        <v>615</v>
      </c>
      <c r="J28" t="s">
        <v>752</v>
      </c>
      <c r="K28" t="s">
        <v>753</v>
      </c>
      <c r="L28" t="s">
        <v>754</v>
      </c>
    </row>
    <row r="29" spans="1:12">
      <c r="A29" t="s">
        <v>755</v>
      </c>
      <c r="B29" t="s">
        <v>610</v>
      </c>
      <c r="C29" s="72" t="s">
        <v>756</v>
      </c>
      <c r="D29" s="72" t="s">
        <v>757</v>
      </c>
      <c r="E29" t="s">
        <v>673</v>
      </c>
      <c r="F29" t="s">
        <v>638</v>
      </c>
      <c r="G29" t="s">
        <v>758</v>
      </c>
      <c r="H29" t="s">
        <v>139</v>
      </c>
      <c r="I29" t="s">
        <v>615</v>
      </c>
      <c r="K29" t="s">
        <v>759</v>
      </c>
    </row>
    <row r="30" spans="1:12">
      <c r="A30" t="s">
        <v>760</v>
      </c>
      <c r="B30" t="s">
        <v>610</v>
      </c>
      <c r="C30" s="72" t="s">
        <v>761</v>
      </c>
      <c r="D30" s="72" t="s">
        <v>762</v>
      </c>
      <c r="E30" t="s">
        <v>673</v>
      </c>
      <c r="F30" t="s">
        <v>614</v>
      </c>
      <c r="G30" t="s">
        <v>763</v>
      </c>
      <c r="H30" t="s">
        <v>287</v>
      </c>
      <c r="I30" t="s">
        <v>615</v>
      </c>
      <c r="K30" t="s">
        <v>764</v>
      </c>
    </row>
    <row r="31" spans="1:12">
      <c r="A31" t="s">
        <v>765</v>
      </c>
      <c r="B31" t="s">
        <v>610</v>
      </c>
      <c r="C31" s="72" t="s">
        <v>766</v>
      </c>
      <c r="D31" s="72" t="s">
        <v>767</v>
      </c>
      <c r="E31" t="s">
        <v>673</v>
      </c>
      <c r="F31" t="s">
        <v>614</v>
      </c>
      <c r="G31" t="s">
        <v>763</v>
      </c>
      <c r="H31" t="s">
        <v>287</v>
      </c>
      <c r="I31" t="s">
        <v>615</v>
      </c>
      <c r="K31" t="s">
        <v>768</v>
      </c>
    </row>
    <row r="32" spans="1:12">
      <c r="A32" t="s">
        <v>769</v>
      </c>
      <c r="B32" t="s">
        <v>610</v>
      </c>
      <c r="C32" s="72" t="s">
        <v>770</v>
      </c>
      <c r="D32" s="72" t="s">
        <v>771</v>
      </c>
      <c r="E32" t="s">
        <v>673</v>
      </c>
      <c r="F32" t="s">
        <v>614</v>
      </c>
      <c r="G32" t="s">
        <v>772</v>
      </c>
      <c r="H32" t="s">
        <v>287</v>
      </c>
      <c r="I32" t="s">
        <v>615</v>
      </c>
      <c r="K32" t="s">
        <v>773</v>
      </c>
    </row>
    <row r="33" spans="1:12">
      <c r="A33" t="s">
        <v>774</v>
      </c>
      <c r="B33" t="s">
        <v>610</v>
      </c>
      <c r="C33" s="72" t="s">
        <v>775</v>
      </c>
      <c r="D33" s="72" t="s">
        <v>776</v>
      </c>
      <c r="E33" t="s">
        <v>673</v>
      </c>
      <c r="F33" t="s">
        <v>614</v>
      </c>
      <c r="G33" t="s">
        <v>772</v>
      </c>
      <c r="H33" t="s">
        <v>287</v>
      </c>
      <c r="I33" t="s">
        <v>615</v>
      </c>
      <c r="K33" t="s">
        <v>777</v>
      </c>
    </row>
    <row r="34" spans="1:12">
      <c r="A34" t="s">
        <v>778</v>
      </c>
      <c r="B34" t="s">
        <v>610</v>
      </c>
      <c r="C34" s="72" t="s">
        <v>779</v>
      </c>
      <c r="D34" s="72" t="s">
        <v>780</v>
      </c>
      <c r="E34" t="s">
        <v>673</v>
      </c>
      <c r="F34" t="s">
        <v>614</v>
      </c>
      <c r="G34" t="s">
        <v>781</v>
      </c>
      <c r="H34" t="s">
        <v>287</v>
      </c>
      <c r="I34" t="s">
        <v>615</v>
      </c>
      <c r="K34" t="s">
        <v>782</v>
      </c>
    </row>
    <row r="35" spans="1:12">
      <c r="A35" t="s">
        <v>783</v>
      </c>
      <c r="B35" t="s">
        <v>610</v>
      </c>
      <c r="C35" s="72" t="s">
        <v>784</v>
      </c>
      <c r="D35" s="72" t="s">
        <v>785</v>
      </c>
      <c r="E35" t="s">
        <v>673</v>
      </c>
      <c r="F35" t="s">
        <v>614</v>
      </c>
      <c r="G35" t="s">
        <v>781</v>
      </c>
      <c r="H35" t="s">
        <v>287</v>
      </c>
      <c r="I35" t="s">
        <v>615</v>
      </c>
      <c r="K35" t="s">
        <v>786</v>
      </c>
    </row>
    <row r="36" spans="1:12">
      <c r="A36" t="s">
        <v>787</v>
      </c>
      <c r="B36" t="s">
        <v>610</v>
      </c>
      <c r="C36" s="72" t="s">
        <v>788</v>
      </c>
      <c r="D36" s="72" t="s">
        <v>788</v>
      </c>
      <c r="E36" t="s">
        <v>613</v>
      </c>
      <c r="F36" t="s">
        <v>638</v>
      </c>
      <c r="G36" t="s">
        <v>607</v>
      </c>
      <c r="H36" t="s">
        <v>139</v>
      </c>
      <c r="I36" t="s">
        <v>615</v>
      </c>
      <c r="J36">
        <v>922756652</v>
      </c>
      <c r="K36" s="73" t="s">
        <v>789</v>
      </c>
      <c r="L36" s="73" t="s">
        <v>790</v>
      </c>
    </row>
  </sheetData>
  <hyperlinks>
    <hyperlink ref="K12" r:id="rId1" xr:uid="{8046499B-418D-460A-81C7-FF2719B69A2A}"/>
    <hyperlink ref="K36" r:id="rId2" xr:uid="{BDA21346-836F-4D5F-A6C3-480A8A62D135}"/>
    <hyperlink ref="L36" r:id="rId3" xr:uid="{5F588208-821D-4043-A7C5-86A324E2174B}"/>
    <hyperlink ref="K10" r:id="rId4" tooltip="mailto:sergio.jimenez@baselgovernance.org" display="mailto:sergio.jimenez@baselgovernance.org" xr:uid="{68C5041A-36E5-4E00-81BB-999007540780}"/>
  </hyperlinks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BD60-A03A-4196-A997-9901D43B84E0}">
  <dimension ref="A1:AF7"/>
  <sheetViews>
    <sheetView workbookViewId="0">
      <selection activeCell="G20" sqref="G20"/>
    </sheetView>
  </sheetViews>
  <sheetFormatPr baseColWidth="10" defaultRowHeight="13.2"/>
  <sheetData>
    <row r="1" spans="1:32">
      <c r="A1" s="48" t="s">
        <v>791</v>
      </c>
      <c r="B1" s="48" t="s">
        <v>792</v>
      </c>
      <c r="C1" s="48" t="s">
        <v>793</v>
      </c>
      <c r="D1" s="48" t="s">
        <v>794</v>
      </c>
      <c r="E1" s="48" t="s">
        <v>795</v>
      </c>
      <c r="F1" s="48" t="s">
        <v>796</v>
      </c>
      <c r="G1" s="48" t="s">
        <v>797</v>
      </c>
      <c r="H1" s="48" t="s">
        <v>798</v>
      </c>
      <c r="I1" s="48" t="s">
        <v>799</v>
      </c>
      <c r="J1" s="48" t="s">
        <v>800</v>
      </c>
      <c r="K1" s="48" t="s">
        <v>801</v>
      </c>
      <c r="L1" s="48" t="s">
        <v>802</v>
      </c>
      <c r="M1" s="48" t="s">
        <v>803</v>
      </c>
      <c r="N1" s="48" t="s">
        <v>804</v>
      </c>
      <c r="O1" s="48" t="s">
        <v>805</v>
      </c>
      <c r="P1" s="48" t="s">
        <v>806</v>
      </c>
      <c r="Q1" s="48" t="s">
        <v>807</v>
      </c>
      <c r="R1" s="48" t="s">
        <v>808</v>
      </c>
      <c r="S1" s="48" t="s">
        <v>809</v>
      </c>
      <c r="T1" s="48" t="s">
        <v>810</v>
      </c>
      <c r="U1" s="48" t="s">
        <v>811</v>
      </c>
      <c r="V1" s="48" t="s">
        <v>812</v>
      </c>
      <c r="W1" s="48" t="s">
        <v>813</v>
      </c>
      <c r="X1" s="48" t="s">
        <v>814</v>
      </c>
      <c r="Y1" s="48" t="s">
        <v>815</v>
      </c>
      <c r="Z1" s="48" t="s">
        <v>816</v>
      </c>
      <c r="AA1" s="48" t="s">
        <v>817</v>
      </c>
      <c r="AB1" s="48" t="s">
        <v>818</v>
      </c>
      <c r="AC1" s="48" t="s">
        <v>819</v>
      </c>
      <c r="AD1" s="48" t="s">
        <v>820</v>
      </c>
      <c r="AE1" s="48" t="s">
        <v>821</v>
      </c>
      <c r="AF1" s="48" t="s">
        <v>822</v>
      </c>
    </row>
    <row r="2" spans="1:32">
      <c r="A2" s="48" t="s">
        <v>823</v>
      </c>
      <c r="B2" t="s">
        <v>824</v>
      </c>
      <c r="C2" t="s">
        <v>825</v>
      </c>
    </row>
    <row r="3" spans="1:32">
      <c r="A3" s="48" t="s">
        <v>826</v>
      </c>
      <c r="B3" t="s">
        <v>827</v>
      </c>
      <c r="C3" t="s">
        <v>828</v>
      </c>
      <c r="D3" t="s">
        <v>829</v>
      </c>
      <c r="E3" t="s">
        <v>830</v>
      </c>
      <c r="F3" t="s">
        <v>831</v>
      </c>
      <c r="G3" t="s">
        <v>832</v>
      </c>
      <c r="H3" t="s">
        <v>833</v>
      </c>
      <c r="I3" t="s">
        <v>834</v>
      </c>
      <c r="J3" t="s">
        <v>835</v>
      </c>
      <c r="K3" t="s">
        <v>836</v>
      </c>
      <c r="L3" t="s">
        <v>837</v>
      </c>
      <c r="M3" t="s">
        <v>838</v>
      </c>
      <c r="N3" t="s">
        <v>839</v>
      </c>
      <c r="O3" t="s">
        <v>840</v>
      </c>
      <c r="P3" t="s">
        <v>841</v>
      </c>
      <c r="Q3" t="s">
        <v>842</v>
      </c>
      <c r="R3" t="s">
        <v>843</v>
      </c>
    </row>
    <row r="4" spans="1:32">
      <c r="A4" s="48" t="s">
        <v>844</v>
      </c>
      <c r="B4" t="s">
        <v>827</v>
      </c>
      <c r="C4" t="s">
        <v>845</v>
      </c>
      <c r="D4" t="s">
        <v>846</v>
      </c>
      <c r="E4" t="s">
        <v>847</v>
      </c>
      <c r="F4" t="s">
        <v>848</v>
      </c>
      <c r="G4" t="s">
        <v>849</v>
      </c>
      <c r="H4" t="s">
        <v>850</v>
      </c>
      <c r="I4" t="s">
        <v>851</v>
      </c>
      <c r="J4" t="s">
        <v>852</v>
      </c>
      <c r="K4" t="s">
        <v>853</v>
      </c>
      <c r="L4" t="s">
        <v>854</v>
      </c>
      <c r="M4" t="s">
        <v>855</v>
      </c>
      <c r="N4" t="s">
        <v>856</v>
      </c>
      <c r="O4" t="s">
        <v>857</v>
      </c>
      <c r="P4" t="s">
        <v>758</v>
      </c>
      <c r="Q4" t="s">
        <v>473</v>
      </c>
      <c r="R4" t="s">
        <v>733</v>
      </c>
      <c r="S4" t="s">
        <v>858</v>
      </c>
      <c r="T4" t="s">
        <v>859</v>
      </c>
      <c r="U4" t="s">
        <v>860</v>
      </c>
      <c r="V4" t="s">
        <v>861</v>
      </c>
      <c r="W4" t="s">
        <v>862</v>
      </c>
      <c r="X4" t="s">
        <v>863</v>
      </c>
      <c r="Y4" t="s">
        <v>864</v>
      </c>
      <c r="Z4" t="s">
        <v>865</v>
      </c>
      <c r="AA4" t="s">
        <v>866</v>
      </c>
      <c r="AB4" t="s">
        <v>867</v>
      </c>
      <c r="AC4" t="s">
        <v>868</v>
      </c>
      <c r="AD4" t="s">
        <v>869</v>
      </c>
      <c r="AE4" t="s">
        <v>870</v>
      </c>
    </row>
    <row r="5" spans="1:32">
      <c r="A5" s="48" t="s">
        <v>871</v>
      </c>
      <c r="B5" s="48" t="s">
        <v>872</v>
      </c>
      <c r="C5" s="48" t="s">
        <v>873</v>
      </c>
    </row>
    <row r="6" spans="1:32">
      <c r="A6" s="48" t="s">
        <v>874</v>
      </c>
      <c r="B6" s="48" t="s">
        <v>875</v>
      </c>
      <c r="C6" s="48" t="s">
        <v>873</v>
      </c>
    </row>
    <row r="7" spans="1:32">
      <c r="A7" s="48" t="s">
        <v>876</v>
      </c>
      <c r="B7" s="48" t="s">
        <v>877</v>
      </c>
      <c r="C7" s="48" t="s">
        <v>878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POA2026_ej</vt:lpstr>
      <vt:lpstr>POA2026_ej (2)</vt:lpstr>
      <vt:lpstr>results, prods y acts</vt:lpstr>
      <vt:lpstr>Consultores</vt:lpstr>
      <vt:lpstr>varios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Dalila</dc:creator>
  <cp:lastModifiedBy>RIVADENEYRA BUSTAMANTE JOAQUIN JAMIL</cp:lastModifiedBy>
  <dcterms:created xsi:type="dcterms:W3CDTF">2023-02-07T14:46:48Z</dcterms:created>
  <dcterms:modified xsi:type="dcterms:W3CDTF">2026-02-06T18:10:42Z</dcterms:modified>
</cp:coreProperties>
</file>