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irtha Rosaura Muñiz\Desktop\BACKUP R4\Basel\Dirección\POA 2026\VERSION FINAL\"/>
    </mc:Choice>
  </mc:AlternateContent>
  <xr:revisionPtr revIDLastSave="0" documentId="8_{1450B1F4-0B2C-4885-9ACA-156DD6467D69}" xr6:coauthVersionLast="36" xr6:coauthVersionMax="36" xr10:uidLastSave="{00000000-0000-0000-0000-000000000000}"/>
  <bookViews>
    <workbookView xWindow="0" yWindow="0" windowWidth="20490" windowHeight="7425" tabRatio="734" xr2:uid="{00000000-000D-0000-FFFF-FFFF00000000}"/>
  </bookViews>
  <sheets>
    <sheet name="POA2025" sheetId="1" r:id="rId1"/>
    <sheet name="Presupuesto" sheetId="2" r:id="rId2"/>
  </sheets>
  <definedNames>
    <definedName name="_xlnm._FilterDatabase" localSheetId="0" hidden="1">'POA2025'!$3:$73</definedName>
  </definedNames>
  <calcPr calcId="191029"/>
</workbook>
</file>

<file path=xl/calcChain.xml><?xml version="1.0" encoding="utf-8"?>
<calcChain xmlns="http://schemas.openxmlformats.org/spreadsheetml/2006/main">
  <c r="U200" i="1" l="1"/>
  <c r="E200" i="1" s="1"/>
  <c r="U199" i="1"/>
  <c r="E199" i="1" s="1"/>
  <c r="U198" i="1"/>
  <c r="E198" i="1" s="1"/>
  <c r="U197" i="1"/>
  <c r="E197" i="1" s="1"/>
  <c r="U196" i="1"/>
  <c r="E196" i="1" s="1"/>
  <c r="U164" i="1" l="1"/>
  <c r="E164" i="1" s="1"/>
  <c r="U43" i="1" l="1"/>
  <c r="E43" i="1" s="1"/>
  <c r="U57" i="1" l="1"/>
  <c r="E57" i="1" s="1"/>
  <c r="U61" i="1"/>
  <c r="E61" i="1" s="1"/>
  <c r="U60" i="1"/>
  <c r="E60" i="1" s="1"/>
  <c r="U65" i="1"/>
  <c r="E65" i="1" s="1"/>
  <c r="U52" i="1"/>
  <c r="E52" i="1" s="1"/>
  <c r="U42" i="1"/>
  <c r="E42" i="1" s="1"/>
  <c r="U41" i="1"/>
  <c r="E41" i="1" s="1"/>
  <c r="U40" i="1"/>
  <c r="E40" i="1" s="1"/>
  <c r="U47" i="1" l="1"/>
  <c r="E47" i="1" s="1"/>
  <c r="U39" i="1"/>
  <c r="E39" i="1" s="1"/>
  <c r="I127" i="2" l="1"/>
  <c r="I54" i="2" l="1"/>
  <c r="U53" i="1" l="1"/>
  <c r="E53" i="1" s="1"/>
  <c r="U19" i="1" l="1"/>
  <c r="E19" i="1" s="1"/>
  <c r="I126" i="2"/>
  <c r="I125" i="2"/>
  <c r="I119" i="2"/>
  <c r="I113" i="2"/>
  <c r="I108" i="2"/>
  <c r="I102" i="2"/>
  <c r="I92" i="2"/>
  <c r="I84" i="2" l="1"/>
  <c r="I81" i="2"/>
  <c r="I75" i="2"/>
  <c r="I68" i="2" l="1"/>
  <c r="I51" i="2"/>
  <c r="I47" i="2"/>
  <c r="I41" i="2"/>
  <c r="I26" i="2"/>
  <c r="I29" i="2" s="1"/>
  <c r="I9" i="2"/>
  <c r="I17" i="2" l="1"/>
  <c r="I13" i="2"/>
  <c r="I18" i="2" s="1"/>
  <c r="U69" i="1" l="1"/>
  <c r="E69" i="1" s="1"/>
  <c r="U210" i="1" l="1"/>
  <c r="E210" i="1" s="1"/>
  <c r="U209" i="1"/>
  <c r="E209" i="1" s="1"/>
  <c r="U208" i="1"/>
  <c r="E208" i="1" s="1"/>
  <c r="U205" i="1"/>
  <c r="E205" i="1" s="1"/>
  <c r="U204" i="1"/>
  <c r="E204" i="1" s="1"/>
  <c r="U203" i="1"/>
  <c r="E203" i="1" s="1"/>
  <c r="U190" i="1"/>
  <c r="E190" i="1" s="1"/>
  <c r="U189" i="1"/>
  <c r="E189" i="1" s="1"/>
  <c r="U188" i="1"/>
  <c r="E188" i="1" s="1"/>
  <c r="U178" i="1"/>
  <c r="E178" i="1" s="1"/>
  <c r="U179" i="1"/>
  <c r="E179" i="1" s="1"/>
  <c r="U180" i="1"/>
  <c r="E180" i="1" s="1"/>
  <c r="U181" i="1"/>
  <c r="E181" i="1" s="1"/>
  <c r="U182" i="1"/>
  <c r="E182" i="1" s="1"/>
  <c r="U183" i="1"/>
  <c r="E183" i="1" s="1"/>
  <c r="U184" i="1"/>
  <c r="E184" i="1" s="1"/>
  <c r="U95" i="1" l="1"/>
  <c r="U6" i="1" l="1"/>
  <c r="E6" i="1" s="1"/>
  <c r="U215" i="1"/>
  <c r="E215" i="1" l="1"/>
  <c r="U213" i="1"/>
  <c r="E213" i="1" s="1"/>
  <c r="U207" i="1"/>
  <c r="E207" i="1" s="1"/>
  <c r="U202" i="1"/>
  <c r="E202" i="1" s="1"/>
  <c r="U194" i="1"/>
  <c r="E194" i="1" s="1"/>
  <c r="U193" i="1"/>
  <c r="E193" i="1" s="1"/>
  <c r="U192" i="1"/>
  <c r="E192" i="1" s="1"/>
  <c r="U191" i="1"/>
  <c r="E191" i="1" s="1"/>
  <c r="U187" i="1"/>
  <c r="E187" i="1" s="1"/>
  <c r="U185" i="1"/>
  <c r="E185" i="1" s="1"/>
  <c r="U177" i="1"/>
  <c r="E177" i="1" s="1"/>
  <c r="U176" i="1"/>
  <c r="E176" i="1" s="1"/>
  <c r="U175" i="1"/>
  <c r="E175" i="1" s="1"/>
  <c r="U174" i="1"/>
  <c r="E174" i="1" s="1"/>
  <c r="U173" i="1"/>
  <c r="E173" i="1" s="1"/>
  <c r="U172" i="1"/>
  <c r="E172" i="1" s="1"/>
  <c r="U25" i="1" l="1"/>
  <c r="E25" i="1" s="1"/>
  <c r="U23" i="1"/>
  <c r="E23" i="1" s="1"/>
  <c r="U15" i="1"/>
  <c r="E15" i="1" s="1"/>
  <c r="U14" i="1"/>
  <c r="E14" i="1" s="1"/>
  <c r="U12" i="1"/>
  <c r="E12" i="1" s="1"/>
  <c r="U11" i="1"/>
  <c r="E11" i="1" s="1"/>
  <c r="U9" i="1"/>
  <c r="E9" i="1" s="1"/>
  <c r="U7" i="1"/>
  <c r="E7" i="1" s="1"/>
  <c r="U29" i="1"/>
  <c r="E29" i="1" s="1"/>
  <c r="U30" i="1"/>
  <c r="E30" i="1" s="1"/>
  <c r="U31" i="1"/>
  <c r="E31" i="1" s="1"/>
  <c r="U32" i="1"/>
  <c r="E32" i="1" s="1"/>
  <c r="U33" i="1"/>
  <c r="E33" i="1" s="1"/>
  <c r="U21" i="1" l="1"/>
  <c r="E21" i="1" s="1"/>
  <c r="U20" i="1"/>
  <c r="E20" i="1" s="1"/>
  <c r="U18" i="1"/>
  <c r="E18" i="1" s="1"/>
  <c r="U17" i="1"/>
  <c r="E17" i="1" s="1"/>
  <c r="U16" i="1"/>
  <c r="E16" i="1" s="1"/>
  <c r="U168" i="1" l="1"/>
  <c r="E168" i="1" s="1"/>
  <c r="U167" i="1"/>
  <c r="E167" i="1" s="1"/>
  <c r="U166" i="1"/>
  <c r="E166" i="1" s="1"/>
  <c r="U162" i="1"/>
  <c r="E162" i="1" s="1"/>
  <c r="U158" i="1"/>
  <c r="E158" i="1" s="1"/>
  <c r="U160" i="1"/>
  <c r="E160" i="1" s="1"/>
  <c r="U159" i="1"/>
  <c r="E159" i="1" s="1"/>
  <c r="U156" i="1"/>
  <c r="E156" i="1" s="1"/>
  <c r="U155" i="1"/>
  <c r="E155" i="1" s="1"/>
  <c r="U151" i="1"/>
  <c r="E151" i="1" s="1"/>
  <c r="U140" i="1"/>
  <c r="E140" i="1" s="1"/>
  <c r="U134" i="1"/>
  <c r="E134" i="1" s="1"/>
  <c r="U148" i="1"/>
  <c r="E148" i="1" s="1"/>
  <c r="U147" i="1"/>
  <c r="E147" i="1" s="1"/>
  <c r="U145" i="1"/>
  <c r="E145" i="1" s="1"/>
  <c r="U143" i="1"/>
  <c r="E143" i="1" s="1"/>
  <c r="U142" i="1"/>
  <c r="E142" i="1" s="1"/>
  <c r="U139" i="1"/>
  <c r="E139" i="1" s="1"/>
  <c r="U138" i="1"/>
  <c r="E138" i="1" s="1"/>
  <c r="U137" i="1"/>
  <c r="E137" i="1" s="1"/>
  <c r="U136" i="1"/>
  <c r="E136" i="1" s="1"/>
  <c r="U133" i="1"/>
  <c r="E133" i="1" s="1"/>
  <c r="U132" i="1"/>
  <c r="E132" i="1" s="1"/>
  <c r="U106" i="1"/>
  <c r="E106" i="1" s="1"/>
  <c r="U34" i="1" l="1"/>
  <c r="E34" i="1" s="1"/>
  <c r="U35" i="1"/>
  <c r="E35" i="1" s="1"/>
  <c r="U36" i="1"/>
  <c r="E36" i="1" s="1"/>
  <c r="U37" i="1"/>
  <c r="E37" i="1" s="1"/>
  <c r="U38" i="1"/>
  <c r="E38" i="1" s="1"/>
  <c r="U56" i="1"/>
  <c r="E56" i="1" s="1"/>
  <c r="U44" i="1"/>
  <c r="E44" i="1" s="1"/>
  <c r="U46" i="1"/>
  <c r="E46" i="1" s="1"/>
  <c r="U48" i="1"/>
  <c r="E48" i="1" s="1"/>
  <c r="U49" i="1"/>
  <c r="E49" i="1" s="1"/>
  <c r="U50" i="1"/>
  <c r="E50" i="1" s="1"/>
  <c r="U51" i="1"/>
  <c r="E51" i="1" s="1"/>
  <c r="U55" i="1"/>
  <c r="E55" i="1" s="1"/>
  <c r="U59" i="1"/>
  <c r="E59" i="1" s="1"/>
  <c r="U63" i="1"/>
  <c r="E63" i="1" s="1"/>
  <c r="U64" i="1"/>
  <c r="E64" i="1" s="1"/>
  <c r="U68" i="1"/>
  <c r="E68" i="1" s="1"/>
  <c r="U75" i="1"/>
  <c r="E75" i="1" s="1"/>
  <c r="U71" i="1"/>
  <c r="E71" i="1" s="1"/>
  <c r="U73" i="1"/>
  <c r="E73" i="1" s="1"/>
  <c r="U79" i="1"/>
  <c r="E79" i="1" s="1"/>
  <c r="U80" i="1"/>
  <c r="E80" i="1" s="1"/>
  <c r="U81" i="1"/>
  <c r="E81" i="1" s="1"/>
  <c r="U82" i="1"/>
  <c r="E82" i="1" s="1"/>
  <c r="U83" i="1"/>
  <c r="E83" i="1" s="1"/>
  <c r="U84" i="1"/>
  <c r="E84" i="1" s="1"/>
  <c r="U85" i="1"/>
  <c r="E85" i="1" s="1"/>
  <c r="U86" i="1"/>
  <c r="E86" i="1" s="1"/>
  <c r="U88" i="1"/>
  <c r="E88" i="1" s="1"/>
  <c r="U89" i="1"/>
  <c r="E89" i="1" s="1"/>
  <c r="U91" i="1"/>
  <c r="E91" i="1" s="1"/>
  <c r="U92" i="1"/>
  <c r="E92" i="1" s="1"/>
  <c r="U94" i="1"/>
  <c r="E94" i="1" s="1"/>
  <c r="E95" i="1"/>
  <c r="U97" i="1"/>
  <c r="E97" i="1" s="1"/>
  <c r="U98" i="1"/>
  <c r="E98" i="1" s="1"/>
  <c r="U101" i="1"/>
  <c r="E101" i="1" s="1"/>
  <c r="U102" i="1"/>
  <c r="E102" i="1" s="1"/>
  <c r="U107" i="1"/>
  <c r="E107" i="1" s="1"/>
  <c r="U108" i="1"/>
  <c r="E108" i="1" s="1"/>
  <c r="U109" i="1"/>
  <c r="E109" i="1" s="1"/>
  <c r="U110" i="1"/>
  <c r="E110" i="1" s="1"/>
  <c r="U111" i="1"/>
  <c r="E111" i="1" s="1"/>
  <c r="U115" i="1"/>
  <c r="E115" i="1" s="1"/>
  <c r="U113" i="1"/>
  <c r="E113" i="1" s="1"/>
  <c r="U114" i="1"/>
  <c r="E114" i="1" s="1"/>
  <c r="U117" i="1"/>
  <c r="E117" i="1" s="1"/>
  <c r="U119" i="1"/>
  <c r="E119" i="1" s="1"/>
  <c r="U120" i="1"/>
  <c r="E120" i="1" s="1"/>
  <c r="U122" i="1"/>
  <c r="E122" i="1" s="1"/>
  <c r="U123" i="1"/>
  <c r="E123" i="1" s="1"/>
  <c r="U126" i="1"/>
  <c r="E126" i="1" s="1"/>
  <c r="U128" i="1"/>
  <c r="E1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Mirtha Rosaura Muñiz</author>
  </authors>
  <commentList>
    <comment ref="I22" authorId="0" shapeId="0" xr:uid="{63867A81-9BAE-4451-A175-505C92D4AFEA}">
      <text>
        <r>
          <rPr>
            <b/>
            <sz val="9"/>
            <color indexed="81"/>
            <rFont val="Tahoma"/>
            <family val="2"/>
          </rPr>
          <t>Mirtha Rosaura Muñiz:</t>
        </r>
        <r>
          <rPr>
            <sz val="9"/>
            <color indexed="81"/>
            <rFont val="Tahoma"/>
            <family val="2"/>
          </rPr>
          <t xml:space="preserve">
adicionales al PPTO referencial  2025
</t>
        </r>
      </text>
    </comment>
  </commentList>
</comments>
</file>

<file path=xl/sharedStrings.xml><?xml version="1.0" encoding="utf-8"?>
<sst xmlns="http://schemas.openxmlformats.org/spreadsheetml/2006/main" count="1278" uniqueCount="722">
  <si>
    <t>Productos y Actividades</t>
  </si>
  <si>
    <t>Indicador</t>
  </si>
  <si>
    <t>Unidad de
medida</t>
  </si>
  <si>
    <t>Medio de verificación</t>
  </si>
  <si>
    <t>Logro Esperado</t>
  </si>
  <si>
    <t>Ene</t>
  </si>
  <si>
    <t>Feb</t>
  </si>
  <si>
    <t>Mar</t>
  </si>
  <si>
    <t>Abr</t>
  </si>
  <si>
    <t>May</t>
  </si>
  <si>
    <t>Jun</t>
  </si>
  <si>
    <t>Jul</t>
  </si>
  <si>
    <t>Ago</t>
  </si>
  <si>
    <t>Set</t>
  </si>
  <si>
    <t>Oct</t>
  </si>
  <si>
    <t>Nov</t>
  </si>
  <si>
    <t>Dic</t>
  </si>
  <si>
    <t>R1</t>
  </si>
  <si>
    <t>A nivel GSN</t>
  </si>
  <si>
    <t>P1</t>
  </si>
  <si>
    <t>Asistencia técnica</t>
  </si>
  <si>
    <t>R1.P1.2.2</t>
  </si>
  <si>
    <t>Número de acompañamientos</t>
  </si>
  <si>
    <t>Acompañamiento</t>
  </si>
  <si>
    <t>Ficha de Seguimiento</t>
  </si>
  <si>
    <t>R1.P1.2.3</t>
  </si>
  <si>
    <t>GSN</t>
  </si>
  <si>
    <t>R1.P1.2.4</t>
  </si>
  <si>
    <t>R1.P1.2.5</t>
  </si>
  <si>
    <t>R1.P1.2.6</t>
  </si>
  <si>
    <t>R1.P1.2.8</t>
  </si>
  <si>
    <t>R1.P1.2.9</t>
  </si>
  <si>
    <t>Informe / Ficha de Seguimiento</t>
  </si>
  <si>
    <t>GSNs optimiza sus procesos de gestión.</t>
  </si>
  <si>
    <t>Acompañamiento a los GSNs en el proceso del seguimiento de la ejecución presupuestaria de ingresos y gastos.</t>
  </si>
  <si>
    <t>Los GSNs se encuentran alertados sobre los avances en la ejecución presupuestaria.</t>
  </si>
  <si>
    <t>GSN culminan procesos de contratación de los SBP</t>
  </si>
  <si>
    <t>Acompañamiento en el seguimiento del proceso de distribución de vacunas, registro oportuno de entradas y salidas (Neas y PECOSAS) de las vacunas.</t>
  </si>
  <si>
    <t>GSN relacionado con los SBP realiza oportunamente la distribución de vacunas.</t>
  </si>
  <si>
    <t>Acompañamiento a los GSN en las fases de los procesos de contratación de bienes y servicios relacionados al transporte y distribución de material educativo.</t>
  </si>
  <si>
    <t>Acompañamiento en el seguimiento del proceso de distribución del material educativo y verificación del registro oportuno de entradas y salidas  (Neas y PECOSAS) del material educativo.</t>
  </si>
  <si>
    <t>GSN relacionados a los SBP realiza oportunamente  la distribución del material educativo</t>
  </si>
  <si>
    <t>Acompañamiento a los responsables designados en la elaboración del Plan de trabajo para la implementación de mejora de los almacenes relacionados a los SBP.</t>
  </si>
  <si>
    <t>UEs de sector de Educación y/o Salud cuentan con plan de trabajo elaborado para la mejora de los almacenes a los SBP</t>
  </si>
  <si>
    <t>R1.P1.3.1</t>
  </si>
  <si>
    <t>Reunión</t>
  </si>
  <si>
    <t>Reuniones de retroalimentación del avance y resultado de la distribución de vacunas y material educativo con los GSN.</t>
  </si>
  <si>
    <t>Número de reuniones</t>
  </si>
  <si>
    <t>UEs - Sector Educación y Salud, informado y alertado de los avances y resultados de la distribución de vacunas y material educativo.</t>
  </si>
  <si>
    <t>Número de charlas</t>
  </si>
  <si>
    <t>Charla</t>
  </si>
  <si>
    <t>P2</t>
  </si>
  <si>
    <t>Fortalecimiento de capacidades</t>
  </si>
  <si>
    <t>R1.P2.3.1</t>
  </si>
  <si>
    <t>Capacitación</t>
  </si>
  <si>
    <t>Informe</t>
  </si>
  <si>
    <t>Curso y/o capacitación</t>
  </si>
  <si>
    <t>R1.P2.3.3</t>
  </si>
  <si>
    <t>Capacitación ad hoc para la programación de bienes y servicios de los SBP</t>
  </si>
  <si>
    <t>Número de capacitaciones</t>
  </si>
  <si>
    <t>Informe y Actas</t>
  </si>
  <si>
    <t>Personal técnico involucrado en la programación de CMN se encuentran capacitados en el GSN.</t>
  </si>
  <si>
    <t>Capacitación ad hoc o Curso de capacidades en la fases de contratación de bienes y servicios vinculados con los SBP</t>
  </si>
  <si>
    <t>Personal del OEC del GSN, se encuentran capacitados.</t>
  </si>
  <si>
    <t>Capacitación ad hoc en Gestión de Almacenes de los SBP</t>
  </si>
  <si>
    <t>Personal técnico involucrado en la gestión de almacenes encuentren capacitados en el GSN</t>
  </si>
  <si>
    <t>Curso</t>
  </si>
  <si>
    <t>P3</t>
  </si>
  <si>
    <t>Número de propuestas</t>
  </si>
  <si>
    <t>Propuesta</t>
  </si>
  <si>
    <t>Documento</t>
  </si>
  <si>
    <t>A nivel Nacional</t>
  </si>
  <si>
    <t>MEF - Dirección General de Programación Multianual de Inversiones - DGPMI</t>
  </si>
  <si>
    <t>Programa apoya a los GSN, presenta comentarios y aportaciones a la DGA.</t>
  </si>
  <si>
    <t>Ministerio de Educación - MINEDU</t>
  </si>
  <si>
    <t>Reuniones de coordinación y apoyo para absolver consultas relacionadas a la programación y distribución oportuna del material educativo, y; distribución de bienes patrimoniales a las IIEE de los GSN.</t>
  </si>
  <si>
    <t>MINEDU absuelva las consultas oportunamente de los GSN</t>
  </si>
  <si>
    <t>CENARES absuelva las consultas oportunamente</t>
  </si>
  <si>
    <t>P4</t>
  </si>
  <si>
    <t>Taller</t>
  </si>
  <si>
    <t>R1.P1.2.1</t>
  </si>
  <si>
    <t>Acompañamiento en el seguimiento del proceso de distribución del sulfato ferroso y verificación del registro oportuno de entradas y salidas  (Neas y PECOSAS) del sulfato ferroso</t>
  </si>
  <si>
    <t>R1.P1.2.7</t>
  </si>
  <si>
    <t>Acompañamiento a los responsables designados en el proceso de implementación del  Plan de trabajo  de mejora de los almacenes  relacionados a los SBP.</t>
  </si>
  <si>
    <t>R1.P2.3.2</t>
  </si>
  <si>
    <t>GSN relacionados a los SBP realiza oportunamente  la distribución del sulfato ferroso</t>
  </si>
  <si>
    <t>Número de Talleres</t>
  </si>
  <si>
    <t>R1.P1.1.1</t>
  </si>
  <si>
    <t>Reporte de Taller</t>
  </si>
  <si>
    <t>Acompañamiento en la actualización de instrumentos de gestión de la  cadena de abastecimiento publico de los SBP</t>
  </si>
  <si>
    <t>P5</t>
  </si>
  <si>
    <t>Publicaciones</t>
  </si>
  <si>
    <t>Reuniones de coordinaciones respecto a las nuevas normas, Asistencia técnica a los GSN, comentarios y aportaciones al Sistema Nacional de Abastecimiento y/o herramientas informáticas.</t>
  </si>
  <si>
    <t xml:space="preserve">Ministerio de Salud - MINSA  </t>
  </si>
  <si>
    <t>Reuniones de coordinación con MINSA para absolver consultas relacionadas a la programación y distribución oportuna de las vacunas y sulfato ferroso a los GSN</t>
  </si>
  <si>
    <t>Número de cursos</t>
  </si>
  <si>
    <t>Tecnologia de la Informacion</t>
  </si>
  <si>
    <t>R2.P4.1.1</t>
  </si>
  <si>
    <t>Número de propuesta</t>
  </si>
  <si>
    <t>GSN utiliza TI en su gestion del abastecimiento</t>
  </si>
  <si>
    <t>Instrumento de Gestion</t>
  </si>
  <si>
    <t>Propuesta de protocolo en base a la normatividad de los entes rectores para mejorar la gestión del abastecimiento</t>
  </si>
  <si>
    <t>Implementacion de TI en la gestion del Abastecimiento</t>
  </si>
  <si>
    <t>R1.P2.1.1</t>
  </si>
  <si>
    <t>R1.P2.5.1</t>
  </si>
  <si>
    <t>Curso (Programa Especial) en temas relacionados con la cadena de abastecimiento.</t>
  </si>
  <si>
    <t>Fortalecer conocimiento sobre metas de la cadena de abastecimiento.</t>
  </si>
  <si>
    <t>Charla para la elaboración del PAC 2023, PMBSyO 2024-2026, adecuada elaboración de las solicitudes de pedido, elaboración de especificaciones técnicas y términos de referencia para bienes y servicios y almacenes de los SBP</t>
  </si>
  <si>
    <t>Centro Nacional de Planeamiento Estratégico - CEPLAN</t>
  </si>
  <si>
    <t>Reuniones de trabajo para promover la articulación de la planificación operativa y la programación de la demanda de bienes y servicios relacionados con los servicios básicos priorizados y fortalecimiento de capacidades a los GSN. Coordinación de atención de consultas de los GSN.</t>
  </si>
  <si>
    <t>Ceplan fortalece el proceso de articulación de la planificación con la programación de bienes y servicios.</t>
  </si>
  <si>
    <t>R1.P3.1.1</t>
  </si>
  <si>
    <t>R1.P4.1.1</t>
  </si>
  <si>
    <t>Meta 
2025</t>
  </si>
  <si>
    <t>Meta 
Ene - Dic</t>
  </si>
  <si>
    <t>Acompañamiento a los GSN en las fases de los procesos de contratación de bienes y servicios relacionados al transporte y distribución de vacunas y Sulfato Ferroso</t>
  </si>
  <si>
    <t>R2</t>
  </si>
  <si>
    <t>R2.P1.2.2</t>
  </si>
  <si>
    <t>Acompañamiento de los proyectos de inversión, gestionado desde el gobierno nacional de interés regional.</t>
  </si>
  <si>
    <t>R2.P1.2.3</t>
  </si>
  <si>
    <t>Acompañamiento en la fase de Programación Multianual de Inversiones, y en particular de la cartera priorizada con el GSN.</t>
  </si>
  <si>
    <t>R2.P1.2.4</t>
  </si>
  <si>
    <t>Acompañamiento en la consistencia del PMI 2025 con el PIA 2026 del GSN.</t>
  </si>
  <si>
    <t>R2.P1.2.5</t>
  </si>
  <si>
    <t>Acompañamiento en la fase de Formulación y Evaluación de Inversiones, y en particular de la cartera priorizada con el GSN.</t>
  </si>
  <si>
    <t>R2.P1.2.6</t>
  </si>
  <si>
    <t>Acompañamiento en la fase de Ejecución de Inversiones, y en particular de la cartera priorizada con el GSN.</t>
  </si>
  <si>
    <t>R2.P1.2.7</t>
  </si>
  <si>
    <t>Acompañamiento para la verificación de avance físico de la ejecución de inversiones de la cartera priorizada con el GSN.</t>
  </si>
  <si>
    <t>Visita</t>
  </si>
  <si>
    <t>R2.P1.2.8</t>
  </si>
  <si>
    <t>Acompañamiento para la verificación del funcionamiento de las inversiones concluidas de la cartera priorizada con el GSN</t>
  </si>
  <si>
    <t>R2.P1.3.1</t>
  </si>
  <si>
    <t>Reuniones retroalimentación para el seguimiento de la Ejecución de la cartera de inversiones que maneja el GSN, y en particular de la cartera priorizada con el GSN.</t>
  </si>
  <si>
    <t>Número de reuniones de retroalimentación</t>
  </si>
  <si>
    <t>R2.P2.1.1</t>
  </si>
  <si>
    <t>Curso relacionados a la gestión de inversiones (incluye presencial en regiones)</t>
  </si>
  <si>
    <t>Número de Diplomados</t>
  </si>
  <si>
    <t>Diplomado</t>
  </si>
  <si>
    <t>R2.P2.5.1</t>
  </si>
  <si>
    <t>Charlas sobre normatividad sectorial, y/o diversos items vinvulados a la gestion de inversiones.</t>
  </si>
  <si>
    <t>Número de Charlas</t>
  </si>
  <si>
    <t>R2.P3.4.1</t>
  </si>
  <si>
    <t>Acompañamiento en desarrollo de instrumentos de gestión relacionadas con las inversiones</t>
  </si>
  <si>
    <t xml:space="preserve">R2.P3.5.1 </t>
  </si>
  <si>
    <t>Instrumentos de innovación</t>
  </si>
  <si>
    <t>Propuesta de Eficiencia de procesos</t>
  </si>
  <si>
    <t>R2.P4.2.1</t>
  </si>
  <si>
    <t>Propuesta de Intervención costo-efectiva</t>
  </si>
  <si>
    <t xml:space="preserve">Número de propuestas </t>
  </si>
  <si>
    <t>Instrumentos de Gestión del Conocimiento</t>
  </si>
  <si>
    <t>R2.P5.2.1</t>
  </si>
  <si>
    <t>Documentos de buenas prácticas</t>
  </si>
  <si>
    <t xml:space="preserve">Número de documentos </t>
  </si>
  <si>
    <t>R2.P5.3.1</t>
  </si>
  <si>
    <t>Documento de politica</t>
  </si>
  <si>
    <t>A nivel nacional</t>
  </si>
  <si>
    <t>Reuniones de coordinación y compartir información relevante que permita optimizar la ejecución de las inversiones de los GSN.</t>
  </si>
  <si>
    <t>Reuniones de coordinación  respecto a modificaciones normativas y disposiciones en relación a la ejecución de inversiones de servicios priorizados y la reactivación de obras públicas.</t>
  </si>
  <si>
    <t>R3</t>
  </si>
  <si>
    <t>Asistencia Técnica</t>
  </si>
  <si>
    <t>R3.P1.2.1</t>
  </si>
  <si>
    <t>Acompañamiento  para la revisión y evaluación de procesos internos de registro, fiscalización y cobranza tributaria municipal</t>
  </si>
  <si>
    <t xml:space="preserve">MPs  con procesos internos identificados. </t>
  </si>
  <si>
    <t>R3.P1.2.2</t>
  </si>
  <si>
    <t>Acompañamiento en los procesos y/o actividades que promuevan la ampliación de la base tributaria predial.</t>
  </si>
  <si>
    <t>MPs</t>
  </si>
  <si>
    <t xml:space="preserve">MPs con un proceso y/o actividad promovida para ampliar base tributaria predial </t>
  </si>
  <si>
    <t>R3.P1.2.3</t>
  </si>
  <si>
    <t>Acompañamiento en programas y actividades promovidas por el MEF, dirigidas a mejorar la recaudación tributaria, implementación y capacitación de uso del nuevo Sistema de Recaudación Tributaria Municipal (SRTM) y el Programa de Apoyo  Presupuestario.</t>
  </si>
  <si>
    <t>MPs con programas / actividades promovidas por el MEF para mejora de recaudación y con personal con conocimiento y capacitación sobre nuevo SRTM.</t>
  </si>
  <si>
    <t>R3.P1.2.5</t>
  </si>
  <si>
    <t>Acompañamiento en la evaluación y propuestas de mejora de los sistemas informáticos de la administración tributaria, así como su vinculación con el catastro.</t>
  </si>
  <si>
    <t>MPs cuentan con sistemas informáticos tributarios con mayores y/o mejores opciones (una evaluación anual)</t>
  </si>
  <si>
    <t>R3.P1.2.6</t>
  </si>
  <si>
    <t>Acompañamiento orientado a la implementación de un proceso oportuno de emisión predial anual</t>
  </si>
  <si>
    <t>MPs gestionan para implementar una emisión oportuna de tributos (1 anual)</t>
  </si>
  <si>
    <t>R3.P1.2.7</t>
  </si>
  <si>
    <t>Acompañamiento en el proceso de cumplimiento del Programa de Incentivos de Mejora de la Gestión Municipal.</t>
  </si>
  <si>
    <t>MPs Cumplimiento metas del Programa de Incentivos</t>
  </si>
  <si>
    <t>Charla al personal de la administración tributaria de Municipalidades, sobre diversos aspectos de la tributación municipal.</t>
  </si>
  <si>
    <t>Municipalidades con mayores conocimientos sobre normatividad de tributación municipal.</t>
  </si>
  <si>
    <t>R3.P2.3.1</t>
  </si>
  <si>
    <t>Capacitaciones ad hoc al personal de la administración tributaria de los municipios, sobre diversos aspectos de la tributación municipal.</t>
  </si>
  <si>
    <t>Número de Capacitaciones ad hoc</t>
  </si>
  <si>
    <t>Personal de la administración tributaria de los municipios con mayores conocimientos sobre normatividad de tributación municipal.</t>
  </si>
  <si>
    <t>R3.P2.3.2</t>
  </si>
  <si>
    <t>Cursos y/o Diplomado al personal de la administración tributaria de las municipalidades, sobre diversos aspectos de la tributación municipal.</t>
  </si>
  <si>
    <t>Número de Cursos o Diplomados</t>
  </si>
  <si>
    <t>Curso y/o Diplomado</t>
  </si>
  <si>
    <t>Instrumentos de mejora de la gestión</t>
  </si>
  <si>
    <t>R3.P3.3.1</t>
  </si>
  <si>
    <t>Propuesta de reforma técnico-administrativa que promuevan actualizaciones y mejoras de la normatividad Tributaria Municipal</t>
  </si>
  <si>
    <t>Número de propuestas elaborada</t>
  </si>
  <si>
    <t>MPs promueven mejoras en la normatividad tributaria.</t>
  </si>
  <si>
    <t>R3.P4.2.1</t>
  </si>
  <si>
    <t>Propuestas costo-efectiva para la implementación de programas de fiscalización tributaria, que se sustenten en los ingresos obtenidos de la propia fiscalización</t>
  </si>
  <si>
    <t>Número de Propuestas</t>
  </si>
  <si>
    <t>Propuestas de incremento en emisión tributaria por fiscalización.</t>
  </si>
  <si>
    <t>R3.P4.2.2</t>
  </si>
  <si>
    <t>Propuestas costo-efectiva para la implementación de estrategias dirigidas al incremento de la recaudación predial</t>
  </si>
  <si>
    <t>Propuestas de acciones para promover incremento de recaudación predial</t>
  </si>
  <si>
    <t>R3.P5.2.1</t>
  </si>
  <si>
    <t>Número de documentos</t>
  </si>
  <si>
    <t>GSNs tienen una gestión mas ordenada y transparente</t>
  </si>
  <si>
    <t>R3.P5.3.1</t>
  </si>
  <si>
    <t>MEF - Dirección General de Política Macroeconómica y Descentralización Fiscal</t>
  </si>
  <si>
    <t>Reunión de coordinación con la Dirección de Política y Descentralización Fiscal respecto a la asistencia técnica de la implementación y capacitación de uso del nuevo Sistema de Recaudación Tributaria Municipal (SRTM), la vinculación con el catastro y de programas y/o actividades dirigidas a mejorar la recaudación tributaria de los GL.</t>
  </si>
  <si>
    <t>Fortalecer conocimiento para asistencia técnica y retroalimentación.</t>
  </si>
  <si>
    <t>MEF - Dirección General de Políticas de Ingresos Públicos</t>
  </si>
  <si>
    <t xml:space="preserve">Reunión de coordinación con la Dirección General de Políticas de Ingresos Públicos del Ministerio de Economía y Finanzas vinculado al desarrollo del Programa de Apoyo Presupuestario (PAP) impulsado por SECO, para promover actividades que permitan potenciar los resultados esperados de la intervención </t>
  </si>
  <si>
    <t>R4</t>
  </si>
  <si>
    <t>A nivel GSN / fiscalías / juzgados</t>
  </si>
  <si>
    <t>R4.P1.1.1</t>
  </si>
  <si>
    <t>Número de talleres</t>
  </si>
  <si>
    <t xml:space="preserve">GSN elabora o actualiza plan de
control interno para SPP
</t>
  </si>
  <si>
    <t>R4.P1.2.1</t>
  </si>
  <si>
    <t>Acompañamiento al equipo coordinador de los GR y MP en la elaboración y seguimiento de los planes de control interno de SPP, e implementación del modelo de integridad en el marco del Programa GFP Subnacional</t>
  </si>
  <si>
    <t>Ficha de seguimiento</t>
  </si>
  <si>
    <t>GSN elabora, actualiza y efectúa seguimiento a plan de control interno para SPP</t>
  </si>
  <si>
    <t>R4.P2.1.1</t>
  </si>
  <si>
    <t>Curso virtual a los GSN en control interno y/o gestión de riesgos, para optimizar la provisión de SPP</t>
  </si>
  <si>
    <t>Número de cursos virtuales</t>
  </si>
  <si>
    <t>UE de GSN que entregan SPP
conocen y aplican la gestión de
riesgos</t>
  </si>
  <si>
    <t>R4.P2.3.1</t>
  </si>
  <si>
    <t>Número de capacitaciones ad hoc</t>
  </si>
  <si>
    <t>UE de GSN que entregan SPP conocen la gestión de riesgos</t>
  </si>
  <si>
    <t>R4.P2.5.1</t>
  </si>
  <si>
    <t>Charlas informativas y charlas de sensibilización en materia de control interno o integridad pública, dirigidas a funcionarios y servidores de los GSN que participan en la provisión de los SPP</t>
  </si>
  <si>
    <t>GSN conocen la importancia del control interno.</t>
  </si>
  <si>
    <t>R4.P2.5.2</t>
  </si>
  <si>
    <t>Charlas de sensibilización para la reflexión ética en la toma de decisiones y la internalización de valores, dirigidos a servidores en Unidades Orgánicas a cargo de coordinar, ejecutar y controlar los procesos de contratación pública en los GR y MP que brindan SPP</t>
  </si>
  <si>
    <t>GSN que brindan SPP reconocen la importancia de los valores en la toma de decisiones</t>
  </si>
  <si>
    <t>Instrumentos de Mejora de la Gestión</t>
  </si>
  <si>
    <t>R4.P3.4.1</t>
  </si>
  <si>
    <t>Propuesta de directiva/protocolo/lineamientos sobre control interno o modelo de integridad a nivel de GSN</t>
  </si>
  <si>
    <t>R4.P3.5.1</t>
  </si>
  <si>
    <t>Propuesta de reforma tecnico administrativa sobre control interno o modelo de integridad a nivel de sector (CGR o SIP)</t>
  </si>
  <si>
    <t>Instrumentos de Innovación</t>
  </si>
  <si>
    <t>R4.P4.1.1</t>
  </si>
  <si>
    <t>Propuesta de eficiencia de procesos en control interno o modelo de integridad</t>
  </si>
  <si>
    <t>Documentos de trabajo en control interno / modelo de integridad pública</t>
  </si>
  <si>
    <t xml:space="preserve">Número de publicaciones </t>
  </si>
  <si>
    <t>Difusión de artículos académicos especializados sobre control interno o modelo de integridad</t>
  </si>
  <si>
    <t>R4.P5.3.1</t>
  </si>
  <si>
    <t>Documento de politica sobre SCI y modelo de integridad pública</t>
  </si>
  <si>
    <t>Los GN reconocen la importancia de los valores e integridad en la toma de decisiones</t>
  </si>
  <si>
    <t>Secretaría de Integridad Pública</t>
  </si>
  <si>
    <t>Reuniones de trabajo sobre productos para promover una cultura de integridad y aspectos metodológicos para la gestión de riesgos, así como potenciar las capacitaciones ad-hoc y el curso virtual previsto</t>
  </si>
  <si>
    <t>Identificar oportunidades, potenciar el valor del curso virtual en gestión de riesgos para los SPP</t>
  </si>
  <si>
    <t>R5</t>
  </si>
  <si>
    <t>La capacidad de los operadores de justicia para recuperar activos ilícitos se consolida</t>
  </si>
  <si>
    <t>Asistencia técnica para la formulación de demandas, medidas cautelares y formulación de estrategias legales en casos emblemáticos de recuperación de activos ilícitos</t>
  </si>
  <si>
    <t>Informe o documento jurídico</t>
  </si>
  <si>
    <t>Documentos jurídicos presentados</t>
  </si>
  <si>
    <t>Reuniones de retroalimentación para hacer seguimiento de la eficacia de la estrategía legal durante los procesos para la recuperación de activos ilícitos</t>
  </si>
  <si>
    <t>Reporte</t>
  </si>
  <si>
    <t>Estrategias legales incorporadas a los  procesos orientados a la recuperación de activos ilícitos</t>
  </si>
  <si>
    <t xml:space="preserve">Número de Programas de Entrenamiento diseñados </t>
  </si>
  <si>
    <t>Programa</t>
  </si>
  <si>
    <t>Identificar, diseñar y asignar contenido para la aplicación de las herramientas orientadas a la recuperación de activos ilícitos</t>
  </si>
  <si>
    <t>Ejecución de Programas de entrenamiento en temas especializados vinculados a la recuperación de activos ilícitos</t>
  </si>
  <si>
    <t>Número de Programas de Entrenamiento ejecutados</t>
  </si>
  <si>
    <t>Operadores de justicia que participan en los procesos de recuperación de activos capacitado</t>
  </si>
  <si>
    <t>Diplomado especializado en recuperación de activos ilícitos</t>
  </si>
  <si>
    <t>Operadores de justicia que participan en los procesos de recuperación de activos ilícitos capacitado</t>
  </si>
  <si>
    <t>Revista especializada en recuperación de activos ilícitos</t>
  </si>
  <si>
    <t>Número de revistas</t>
  </si>
  <si>
    <t>Revista</t>
  </si>
  <si>
    <t>Difusión de artículos académicos especializados</t>
  </si>
  <si>
    <t>Boletín de buenas prácticas y lecciones aprendidas para la recuperación de activos ilícitos</t>
  </si>
  <si>
    <t>Número de boletines</t>
  </si>
  <si>
    <t>Boletín</t>
  </si>
  <si>
    <t>Buenas prácticas en los procesos de recuperación de activos identificadas</t>
  </si>
  <si>
    <t>Estudios de casos de recuperación de activos ilícitos</t>
  </si>
  <si>
    <t>Número de estudios de caso</t>
  </si>
  <si>
    <t>Estrategias legales identificadas para la obtención de resultados favorables relacionadas a la recuperación de activos ilícitos</t>
  </si>
  <si>
    <t>R1.P5.3.1</t>
  </si>
  <si>
    <t>Difusión de Asistencias Técnicas R1,R2,R3,R4, R5</t>
  </si>
  <si>
    <t>Número de herramientas o eventos de difusión elaborados en el mes sobre Asistencias Técnicas realizadas.</t>
  </si>
  <si>
    <t>Difusión de Instrumentos de Mejora de la Gestión realizados por el Programa (R1,R2,R3,R4,R5)</t>
  </si>
  <si>
    <t>Se difunden avances de resultados del Programa y se cumplen al 100% los resultados previstos por la Dirección (Buenos resultados en entrevistas con Autoridades, en ratificación de Planes de acción y en Interaacción con otros Programas de SECO)</t>
  </si>
  <si>
    <t>Se difunden avances de resultados del Programa y se cumplen al 100% los resultados previstos por la Dirección (Buenos resultados en entrevistas con Autoridades, en ratificación de Planes de acción y en Interaacción con Programas de SECO)</t>
  </si>
  <si>
    <t>Informes semestrales</t>
  </si>
  <si>
    <t>Envío a SECO</t>
  </si>
  <si>
    <t>Número de informes</t>
  </si>
  <si>
    <t>Correo de envío</t>
  </si>
  <si>
    <t>Informes enviados en el tiempo esperado</t>
  </si>
  <si>
    <t>Absolución de comentarios</t>
  </si>
  <si>
    <t>Número de respuestas</t>
  </si>
  <si>
    <t>Planificación Operativa</t>
  </si>
  <si>
    <t>Reuniones de trabajo con el equipo del Programa para el diseño y aprobación del POA</t>
  </si>
  <si>
    <t xml:space="preserve">Número de planes </t>
  </si>
  <si>
    <t xml:space="preserve">Plan </t>
  </si>
  <si>
    <t>Plan aprobado</t>
  </si>
  <si>
    <t>Monitoreo y Evaluación</t>
  </si>
  <si>
    <t>Reuniones mensuales de seguimiento</t>
  </si>
  <si>
    <t>Acta de reunión</t>
  </si>
  <si>
    <t>Las áreas encuentran puntos de mejora para el desarrollo de estrategias para la consecución de sus objetivos.</t>
  </si>
  <si>
    <t>Reuniones de identificación y gestión de riesgos</t>
  </si>
  <si>
    <t xml:space="preserve">Se analizan posibles riesgos y, de requerirse, se establecen medidas para su mitigación </t>
  </si>
  <si>
    <t>Coordinación con socios, cooperantes y Programas de SECO</t>
  </si>
  <si>
    <t>Reuniones del Comité de Piloteo con SECO y Basel Institute sede Suiza</t>
  </si>
  <si>
    <t>Se recoge retroalimentación para la implementación del Programa</t>
  </si>
  <si>
    <t>Evaluación de los GSN</t>
  </si>
  <si>
    <t>Número de documento</t>
  </si>
  <si>
    <t>Se define una metodología ad hoc para la evaluación de la gestión de las finanzas públicas en GSN</t>
  </si>
  <si>
    <t>Gestión del Conocimiento y Sostenibilidad</t>
  </si>
  <si>
    <t xml:space="preserve">Se promueve la sostenibilidad del Programa </t>
  </si>
  <si>
    <t>Diseño de la metodología de evaluación de las finanzas públicas en GSN</t>
  </si>
  <si>
    <t>CB</t>
  </si>
  <si>
    <t>CB.P1.1.1</t>
  </si>
  <si>
    <t>Taller para la elaboración de plan de acción con los GORE.</t>
  </si>
  <si>
    <t>CB.P1.2.1</t>
  </si>
  <si>
    <t>CB.P1.2.2</t>
  </si>
  <si>
    <t>CB.P1.2.3</t>
  </si>
  <si>
    <t>CB.P1.2.4</t>
  </si>
  <si>
    <t>CB.P1.2.5</t>
  </si>
  <si>
    <t>CB.P1.3.1</t>
  </si>
  <si>
    <t>Reuniones retroalimentación para el seguimiento de la ejecución</t>
  </si>
  <si>
    <t>CB.P2.1.1</t>
  </si>
  <si>
    <t>CB.P2.1.2</t>
  </si>
  <si>
    <t>CB.P2.5.1</t>
  </si>
  <si>
    <t>CB.P2.5.2</t>
  </si>
  <si>
    <t>CB.P2.5.3</t>
  </si>
  <si>
    <t>CB.P3.1.2</t>
  </si>
  <si>
    <t>CB.P3.1.3</t>
  </si>
  <si>
    <t>CB.P4.1.1</t>
  </si>
  <si>
    <t>CB.P5.1.1</t>
  </si>
  <si>
    <t>Documento de trabajo sobre gobernanza de la conservación de la biodiversidad</t>
  </si>
  <si>
    <t>CB.6.1</t>
  </si>
  <si>
    <t>CB.6.2</t>
  </si>
  <si>
    <t>R4.P1.2.2</t>
  </si>
  <si>
    <t>R4.P2.5.3</t>
  </si>
  <si>
    <t>Número de herramientas o eventos de difusión elaboradas/ desarrolladas en el mes sobre Capacitaciones/ Fortalecimiento de Capacidades realizadas</t>
  </si>
  <si>
    <t>D1</t>
  </si>
  <si>
    <t>Los procesos estratégicos y de soporte se realizan de forma eficaz y eficiente</t>
  </si>
  <si>
    <t>Los procesos de gestión de gasto corriente vinculados a los servicios básicos priorizados a cargo de los GSN son más eficaces y eficientes</t>
  </si>
  <si>
    <t>Los procesos de gestión de gasto de capital vinculados a los servicios priorizados a cargo de los GSN son más eficaces y eficientes</t>
  </si>
  <si>
    <t>El control interno y la integridad pública del GSN se fortalecen</t>
  </si>
  <si>
    <t>D1.1</t>
  </si>
  <si>
    <t>D1.2</t>
  </si>
  <si>
    <t>D1.3</t>
  </si>
  <si>
    <t>D1.4</t>
  </si>
  <si>
    <t>D1.1.1</t>
  </si>
  <si>
    <t>D1.1.2</t>
  </si>
  <si>
    <t>D1.2.1</t>
  </si>
  <si>
    <t>D1.3.1</t>
  </si>
  <si>
    <t>D1.3.2</t>
  </si>
  <si>
    <t>D1.5</t>
  </si>
  <si>
    <t>D1.6</t>
  </si>
  <si>
    <t>D1.4.1</t>
  </si>
  <si>
    <t>D1.4.2</t>
  </si>
  <si>
    <t>D1.4.3</t>
  </si>
  <si>
    <t>D1.4.4</t>
  </si>
  <si>
    <t>D1.4.5</t>
  </si>
  <si>
    <t>Se recogen retroalimentación del MEF</t>
  </si>
  <si>
    <t>D1.4.6</t>
  </si>
  <si>
    <t>D1.4.7</t>
  </si>
  <si>
    <t>D1.5.1</t>
  </si>
  <si>
    <t>D1.6.1</t>
  </si>
  <si>
    <r>
      <t>Diseño de Programas de entrenamiento en temas especializados vinculados a la recuperación de activos ilícitos</t>
    </r>
    <r>
      <rPr>
        <sz val="9"/>
        <color rgb="FFFF0000"/>
        <rFont val="Arial"/>
        <family val="2"/>
        <scheme val="minor"/>
      </rPr>
      <t xml:space="preserve"> </t>
    </r>
  </si>
  <si>
    <t>MEF- Dirección General de Abastecimiento-DGA</t>
  </si>
  <si>
    <t>P1.2.1</t>
  </si>
  <si>
    <t>P1.3.1</t>
  </si>
  <si>
    <t>P2.4.1</t>
  </si>
  <si>
    <t>P2.4.2</t>
  </si>
  <si>
    <t>P5.1.1</t>
  </si>
  <si>
    <t>P5.2.2</t>
  </si>
  <si>
    <t>P5.2.1</t>
  </si>
  <si>
    <t>Reuniones</t>
  </si>
  <si>
    <t>Charlas</t>
  </si>
  <si>
    <t>Número de publicaciones</t>
  </si>
  <si>
    <t>Sistemas</t>
  </si>
  <si>
    <t>Publicacion</t>
  </si>
  <si>
    <t>Presentación</t>
  </si>
  <si>
    <t>Numero de propuestas</t>
  </si>
  <si>
    <t>GSN actualizan sus estrategias y/o planes de vigilancia y control</t>
  </si>
  <si>
    <t>GSN monitorea el avance del plan</t>
  </si>
  <si>
    <t>Personal técnico involucrado en el control y vigilancia se capacita</t>
  </si>
  <si>
    <t>Generar alianzas para la ejecución de las actividades planificadas</t>
  </si>
  <si>
    <t>R1.P3.1.2</t>
  </si>
  <si>
    <t>Documento/Presentación</t>
  </si>
  <si>
    <t>GSN en capacidad de hacer seguimiento a proyectos de su interés</t>
  </si>
  <si>
    <t>GSN realizan una adecuada Programación Multianual de Inversiones</t>
  </si>
  <si>
    <t>GSN realizan su programación multianual de acuerdo a la normatividad vigente</t>
  </si>
  <si>
    <t>GSN formulan y aprueban sus proyectos de acuerdo a la normatividad vigente</t>
  </si>
  <si>
    <t>GSN ejecutan sus inversiones con la oportunidad y calidad requerida</t>
  </si>
  <si>
    <t>Se verifica el avance de las obras de las carteras priorizadas con los GSN según la programación</t>
  </si>
  <si>
    <t>Obras concluidas son entregadas a los operadores del servicio</t>
  </si>
  <si>
    <t>GSN fortalecen su gestión de ejecución de inversiones</t>
  </si>
  <si>
    <t>Personal de los GSN son capacitados</t>
  </si>
  <si>
    <t>Los GSN mejoran sus procesos de gestión de inversiones</t>
  </si>
  <si>
    <t>GSN tienen una gestión más ordenada y transparente</t>
  </si>
  <si>
    <t>Se logran sinergias en el trabajo de asistencia técnica a los GSN</t>
  </si>
  <si>
    <t>Conocimiento actualizado de las políticas que maneja el sector nacional en materia de inversiones</t>
  </si>
  <si>
    <t>Difusión de buenas prácticas implementadas en los GSN</t>
  </si>
  <si>
    <t xml:space="preserve">Talleres de gestión de riesgos o reflexión ética dirigidos a los equipos técnicos de los GN y GSN que brindan SPP </t>
  </si>
  <si>
    <t>Documento de trabajo</t>
  </si>
  <si>
    <t>Conservación de la Biodiversidad y Lucha contra el Cambio Climático</t>
  </si>
  <si>
    <t>R3.P2.5.1</t>
  </si>
  <si>
    <t>Plan Operativo Anual 2026</t>
  </si>
  <si>
    <t>Propuesta de reforma técnico administrativa a nivel sectorial</t>
  </si>
  <si>
    <t>Número de Acompañamientos</t>
  </si>
  <si>
    <t xml:space="preserve">Charlas  en materia de control interno, modelo de integridad, gestión de riesgos, ética y temas relacionados dirigidas a funcionarios y servidores de los GN </t>
  </si>
  <si>
    <t>Protocolo de actuación en los procesos vinculados a la recuperación de activos ilícitos</t>
  </si>
  <si>
    <t>Planificación - Año 2026</t>
  </si>
  <si>
    <t>Asistencia técnica en la elaboración de estrategias de Vigilancia y Control de ACR</t>
  </si>
  <si>
    <t>ACR actualizan sus estrategias de vigilancia y control</t>
  </si>
  <si>
    <t xml:space="preserve">Acompañamiento a la gerencia en la actualización del monitoreo de la deforestación de ACR </t>
  </si>
  <si>
    <t>Acompañamiento a la gerencia en la actualización de los estados de conservación para las ACR.</t>
  </si>
  <si>
    <t>ACR actualizan sus estados de conservación</t>
  </si>
  <si>
    <t xml:space="preserve">Asistencia técnica a la gerencia en el diagnóstico de necesidades RPAS </t>
  </si>
  <si>
    <t>Número de diagnósticos</t>
  </si>
  <si>
    <t>Diagnóstico</t>
  </si>
  <si>
    <t>GSN cuentan con un Dx necesidades para al entrega del servicio de Monitoreo Remoto con RPAS</t>
  </si>
  <si>
    <t>Asistencia técnica a la gerencia para el uso de RPAS en GSN</t>
  </si>
  <si>
    <t xml:space="preserve">Número de asistencia técnica </t>
  </si>
  <si>
    <t>GSN cuentan con personal operativo para la entrega de servicio de monitoreo remoto con drones</t>
  </si>
  <si>
    <t>CB.P1.2.6</t>
  </si>
  <si>
    <t>CB.P1.2.7</t>
  </si>
  <si>
    <t>CB.P1.2.8</t>
  </si>
  <si>
    <t>CB.P1.2.9</t>
  </si>
  <si>
    <t>CB.P1.2.10</t>
  </si>
  <si>
    <t>CB.P1.2.11</t>
  </si>
  <si>
    <t>CB.P1.2.12</t>
  </si>
  <si>
    <t>Asistencia técnica a la gerencia para la actualización del modelo de datos SMART en ACR</t>
  </si>
  <si>
    <t>Acompañamiento a jefaturas en capacitaciones a organizaciones locales de vigilancia/ comites de vigilancia / y otros actores comunitarios</t>
  </si>
  <si>
    <t>Asistencia técnica en monitoreo remoto a las FEMA</t>
  </si>
  <si>
    <t>Acompañamiento a las jefaturas en la validación de los mapas de actores</t>
  </si>
  <si>
    <t>Acompañamiento a la jefatura en el monitoreo de los AdC (analisis de cambio de cobertura y deforestación)</t>
  </si>
  <si>
    <t>Acompañamiento en el diseño de los MERESE</t>
  </si>
  <si>
    <t>ACR cuentan con modelo de datos SMART actualizados</t>
  </si>
  <si>
    <t>ACR cuentan con comunidades capacitadas para la vigilancia comunitaria</t>
  </si>
  <si>
    <t xml:space="preserve">FEMA cuenta con personal capacitado para realizar labores de monitoreo de actividades de tala y minería ilegal </t>
  </si>
  <si>
    <t>ACR cuentan con mapas de actores validados a nivel del CdG</t>
  </si>
  <si>
    <t>ACR cuentan con Acuerdos de Conservación en funcionamiento</t>
  </si>
  <si>
    <t>ACR cuentan con Acuerdos de Conservación monitoreados</t>
  </si>
  <si>
    <t>ACR cuentan con MERESE diseñados</t>
  </si>
  <si>
    <t>Curso de uso de la herramienta SMART (con acreditación)   en alianza con Red de ACR /AAF</t>
  </si>
  <si>
    <t>Curso de uso de drones (con acreditación)</t>
  </si>
  <si>
    <t>CB.P2.1.3</t>
  </si>
  <si>
    <t>Curso de Formación de Formadores en PIF (con acreditación)-  en alianza con Red de ACR /AAF</t>
  </si>
  <si>
    <t>CB.P2.1.4</t>
  </si>
  <si>
    <t>Curso de monitoreo de bosques con herramientas de teledetección</t>
  </si>
  <si>
    <t>Charlas sobre gestión participativa (AdC y SIMSAC)</t>
  </si>
  <si>
    <t>Charlas sobre vigilancia comunitaria en ACR (MF VIGILANCIA PARTICIPATIVA, MF PIF)</t>
  </si>
  <si>
    <t>Charlas sobre monitoreo remoto (Tala selectiva, Alertas Atd, Indice de Severidad de Incendios)</t>
  </si>
  <si>
    <t>CB.P2.5.4</t>
  </si>
  <si>
    <t>Intercambios de Experiencias (Congreso de ACR, Webinar de intercambio de experiencias entre capacitadores en Mochila Forestal)</t>
  </si>
  <si>
    <t>Numero de eventos</t>
  </si>
  <si>
    <t>Informe y Constancias</t>
  </si>
  <si>
    <t>Personal técnico involucrado en el control y vigilancia se acredita como capacitador</t>
  </si>
  <si>
    <t>Informe y lista de asistencia</t>
  </si>
  <si>
    <t>Personal técnico involucrado en gestion participativa se capacita</t>
  </si>
  <si>
    <t>Personal técnico y comunidades involucradas en el control y vigilancia se capacitan</t>
  </si>
  <si>
    <t>Personal técnico involucrado en el control y vigilancia intercambian experiencias</t>
  </si>
  <si>
    <t>CB.P3.1.1</t>
  </si>
  <si>
    <t>Guía para la entrega de los servicios de vigilancia y control, en las fases de monitoreo y retroalimentación</t>
  </si>
  <si>
    <t>Guía metodológica para el monitoreo de la deforestación en bosques amazónicos de ANP mediante el uso de teledetección y sistemas de información geográfica</t>
  </si>
  <si>
    <t>Protocolo para la gestión de alertas de deforestación para ACR</t>
  </si>
  <si>
    <t>CB.P3.1.4</t>
  </si>
  <si>
    <t>Propuesta de Directiva de Acuerdos de conservación en ACR, por región  (elaboración, socialización a nivel regional y promoción de su aprobación con instrumento normativo)</t>
  </si>
  <si>
    <t>Guia o Protocolo</t>
  </si>
  <si>
    <t>Guia</t>
  </si>
  <si>
    <t>Protocolo</t>
  </si>
  <si>
    <t>SERNANP fortalece su institucionalidad en vigilancia y control</t>
  </si>
  <si>
    <t>GSN fortalecen su institucionalidad en gobernanza</t>
  </si>
  <si>
    <t>Modelo de datos SMART para ACR</t>
  </si>
  <si>
    <t>CB.P4.1.2</t>
  </si>
  <si>
    <t>Video informativo sobre el uso de la herramienta SMART</t>
  </si>
  <si>
    <t>CB.P4.1.3</t>
  </si>
  <si>
    <t>Diseño de sistema piloto de alertas tempranas que permita el monitoreo de cambios en los bosques</t>
  </si>
  <si>
    <t>CB.P4.1.4</t>
  </si>
  <si>
    <t>Número de Modelo de Datos</t>
  </si>
  <si>
    <t>Número de videos</t>
  </si>
  <si>
    <t>Número de sistemas de alertas diseñados</t>
  </si>
  <si>
    <t>Modelo de Datos</t>
  </si>
  <si>
    <t>Video</t>
  </si>
  <si>
    <t>Evento</t>
  </si>
  <si>
    <t>GSN cuentan con un modelo de datos SMART para ACR</t>
  </si>
  <si>
    <t>GSN cuentan con herramienta para la capacitación continua de Personal técnico involucrado en el control y vigilancia</t>
  </si>
  <si>
    <t>OSINFOR  y GFP implementan sistemas de información para la vigilancia y control en zonas de influencia</t>
  </si>
  <si>
    <t>CONIDA  y GFP recoge información de especies maderables y no maderables en ACR</t>
  </si>
  <si>
    <t>Mapaton para identificación especies maderables y no maderables</t>
  </si>
  <si>
    <t>CB.P5.1.2</t>
  </si>
  <si>
    <t>Documento de Trabajo sobre Uso de la Tecnología para Combatir la Tala Ilegal</t>
  </si>
  <si>
    <t>CB.P5.1.3</t>
  </si>
  <si>
    <t>Working Paper sobre Metodología de Monitoreo de Identificación especies maderables y no maderables en la amazonía peruana</t>
  </si>
  <si>
    <t>CB.P5.2.1</t>
  </si>
  <si>
    <t>Documento de Buenas practicas en el uso del Mapa de Actores</t>
  </si>
  <si>
    <t>Numero de publicaciones</t>
  </si>
  <si>
    <t>Publicación</t>
  </si>
  <si>
    <t>Difusión de artículos académicos especializados sobre tecnología para la conservación</t>
  </si>
  <si>
    <t>Difusión de artículos académicos especializados sobre tecnología para el desarrollo sostenible</t>
  </si>
  <si>
    <t>Difusión de buenas practicas en el uso de Mapa de Actores</t>
  </si>
  <si>
    <t>Entes rectores</t>
  </si>
  <si>
    <t>Planes de trabajo con entes rectores (SERNANP, OSINFOR, MINAM)</t>
  </si>
  <si>
    <t>Numeros de planes</t>
  </si>
  <si>
    <t>Planes</t>
  </si>
  <si>
    <t>Sociedad civil</t>
  </si>
  <si>
    <t>Planes de trabajo articulados con organizaciones de sociedad civil (Red de ACR/AFF, Programas de SECO)</t>
  </si>
  <si>
    <t>R1.P5.1.1</t>
  </si>
  <si>
    <t>Propuesta de Publicaciones</t>
  </si>
  <si>
    <t>Recomendaciones sobre la gestión del abastecimiento relacionado con los SBP</t>
  </si>
  <si>
    <t>R1.P6.1.1</t>
  </si>
  <si>
    <t>Reuniones de coordinación articulada con la DGA para realizar capacitaciones relacionadas a las normas legales vigentes en la Ley de Contrataciones del Estado y absoluciones de consultas del GSN</t>
  </si>
  <si>
    <t>DGA apoya en el fortalecimiento de  capacidades en la Ley de Contrataciones a los GSN</t>
  </si>
  <si>
    <t>Personal del Ministerio Público capacitado</t>
  </si>
  <si>
    <t>Presupuesto 2026</t>
  </si>
  <si>
    <t>Capacitación a nueva administración en tema de la CAP 3 dias</t>
  </si>
  <si>
    <t>4 edición del curso CAP</t>
  </si>
  <si>
    <t>Costo total</t>
  </si>
  <si>
    <t>Total</t>
  </si>
  <si>
    <t>Aplicación para alerta a familias de niños con anemia</t>
  </si>
  <si>
    <t>Pago de alquiler de nube - Aplicación Chatbot</t>
  </si>
  <si>
    <t>Viajes y desplazamiento</t>
  </si>
  <si>
    <t>Concepto</t>
  </si>
  <si>
    <t>Viajes bimestrales y trimestrales a las MPs - Itinerante</t>
  </si>
  <si>
    <t>No incluye pasajes aéreos, Viaje Cusco - Abancay - Residente</t>
  </si>
  <si>
    <t>Capacitación ad hoc conjunta con especialista MEF</t>
  </si>
  <si>
    <t>Capacitación a MP, MDs cercanas y Ms de la región - No incluye pasaje</t>
  </si>
  <si>
    <t>PETM 2026 con ENAP</t>
  </si>
  <si>
    <t>6 MPs GFP, 12 Ms del PAP</t>
  </si>
  <si>
    <t>Curso adicional con ENAP (servicios LP, PJ, SER)</t>
  </si>
  <si>
    <t>3 Curso intoductorio de tributación municipal en Univ Part Antenor Orrego en Trujillo</t>
  </si>
  <si>
    <t>MPT
Ms a través web GFP</t>
  </si>
  <si>
    <t>2 Automatización de procesos MPT</t>
  </si>
  <si>
    <t>MPT y MPSM</t>
  </si>
  <si>
    <t>Mantenimiento y complementación automatización MPP</t>
  </si>
  <si>
    <t>MPP</t>
  </si>
  <si>
    <t>Apoyo programador enlace CONIDA - MEF (catastro fiscal)</t>
  </si>
  <si>
    <t>MPs GFP
Ms país</t>
  </si>
  <si>
    <t xml:space="preserve">5 Campaña IP Vehicular </t>
  </si>
  <si>
    <t>MPA,MPSM,MPP,MPT,MPM</t>
  </si>
  <si>
    <t xml:space="preserve">2 Chatbot </t>
  </si>
  <si>
    <t>MPP, MPM</t>
  </si>
  <si>
    <t>Aplicativo elaboración de costos arbitrios</t>
  </si>
  <si>
    <t>6 MPs, todas Ms</t>
  </si>
  <si>
    <t>Evento ASAT</t>
  </si>
  <si>
    <t xml:space="preserve">Pasantía de funcionarios MPC a Lima </t>
  </si>
  <si>
    <t>Materiales</t>
  </si>
  <si>
    <t>Calendario tributario</t>
  </si>
  <si>
    <t>6 MPs y Ms de la región</t>
  </si>
  <si>
    <t>Diseño gráfico de campañas</t>
  </si>
  <si>
    <t>Videos de difusión</t>
  </si>
  <si>
    <t>Diagramación de documentos</t>
  </si>
  <si>
    <t>Consultorías</t>
  </si>
  <si>
    <t>Invitados externos (pagos), tralados, viáticos</t>
  </si>
  <si>
    <t>Microcursos SIP (2)</t>
  </si>
  <si>
    <t xml:space="preserve">Sistema Informático </t>
  </si>
  <si>
    <t>Apoyo docente, cursos ENAP</t>
  </si>
  <si>
    <t>CLAD 2026</t>
  </si>
  <si>
    <t>Dos Tutores (SERFOR)</t>
  </si>
  <si>
    <t>Material de difusión y sensibilización</t>
  </si>
  <si>
    <t>Docente conferencias</t>
  </si>
  <si>
    <t>2 servicios</t>
  </si>
  <si>
    <t>4 servicios:Documento de trabajo, documento de buenas prácticas, documentos generados para la SIP (versión amigable de nueva directiva del modelo, manuales, guías)</t>
  </si>
  <si>
    <t>3 consultorías senior: Asistencia a órganos rectores de 3 meses cada una (13000 por mes)</t>
  </si>
  <si>
    <t>7 personas de Perú con pasajes y viaticos por 3 noches y un pasaje y estadia de un extranjero</t>
  </si>
  <si>
    <t xml:space="preserve">1 servicio:Guía de riesgos y otro para las veedurias multi actor (8mil euros c/u) </t>
  </si>
  <si>
    <t>Para registro de Riesgos SIP</t>
  </si>
  <si>
    <t>1 servicio: Solo para temáticas o clases específicas. Ejemplo: Curso Introducción a la función de Integridad</t>
  </si>
  <si>
    <t>Inscripción y otro gastos 7000$</t>
  </si>
  <si>
    <t>2 servicios de Tutores de cursos para Serfor (3 meses cada uno)</t>
  </si>
  <si>
    <t>Servicio de diseño, impresiones</t>
  </si>
  <si>
    <t>Varios servicios</t>
  </si>
  <si>
    <t>Programa de entrenamiento (2)</t>
  </si>
  <si>
    <t>Pasajes (7 personas),Viáticos, Alojamiento, Coffee break, honorarios docentes</t>
  </si>
  <si>
    <t>Diplomado (1)</t>
  </si>
  <si>
    <t>Costo del diplomado + ceremonia</t>
  </si>
  <si>
    <t>Convención (1)</t>
  </si>
  <si>
    <t>Pasajes, viáticos, coffee break</t>
  </si>
  <si>
    <t>Capacitaciones ad hoc (3)</t>
  </si>
  <si>
    <t>Protocolo (1)</t>
  </si>
  <si>
    <t>corrección de estilo</t>
  </si>
  <si>
    <t>Sistema colaborativo de números telefónicos (1)</t>
  </si>
  <si>
    <t>Chatbot (1)</t>
  </si>
  <si>
    <t>segundo pago, Servicios adicionales</t>
  </si>
  <si>
    <t>Servicios adicionales, honorarios</t>
  </si>
  <si>
    <t>Revista (1)</t>
  </si>
  <si>
    <t>Diagramación, correción de estilo, impresiones</t>
  </si>
  <si>
    <t>Subtotal</t>
  </si>
  <si>
    <t>D1.Los procesos estratégicos y de soporte se realizan de forma eficaz y eficiente</t>
  </si>
  <si>
    <t>R1. Los procesos de gestión de gasto corriente vinculados a los servicios básicos priorizados a cargo de los GSN son más eficaces y eficientes</t>
  </si>
  <si>
    <t>R2. Los procesos de gestión de gasto de capital vinculados a los servicios priorizados a cargo de los GSN son más eficaces y eficientes</t>
  </si>
  <si>
    <t>R3. Los procesos de recaudación del impuesto predial en los Gobiernos Locales son más eficaces y eficientes</t>
  </si>
  <si>
    <t>R4. El control interno y la integridad pública del GSN se fortalecen</t>
  </si>
  <si>
    <t>R5. La capacidad de los operadores de justicia para recuperar activos ilícitos se consolida</t>
  </si>
  <si>
    <t>CB. Conservación de la Biodiversidad y Lucha contra el Cambio Climático</t>
  </si>
  <si>
    <t>Viáticos</t>
  </si>
  <si>
    <t>Pasajes aéreos, terrestres y fluviales</t>
  </si>
  <si>
    <t>Servicios de consultoría</t>
  </si>
  <si>
    <t>Contratación consultor estrategias de vigilancia y control, Contratación consultor para diagnosticos MERESE</t>
  </si>
  <si>
    <t>Logistica de los talleres, Logistica de comisiones ejecutivas en las se realiza la validacion, Logistica de Talleres de socialización de los AdC</t>
  </si>
  <si>
    <t>Pasajes ida y vuelta de ambos coordinadores, Pasajes y viaticos 1 especialista SERNANP en las AT</t>
  </si>
  <si>
    <t>Viaticos y transporte fluvial/terrestres de 2 especialistas GFP, Pasajes y viaticos 1 especialista SERNANP en 4 AT, Pasajes y viaticos coordinador RC en 2 AT</t>
  </si>
  <si>
    <t>Curso de uso de la herramienta SMART (con acreditación)  en alianza con Red de ACR /AAF</t>
  </si>
  <si>
    <t>Viaticos de 10 guardaparques por curso</t>
  </si>
  <si>
    <t>Pasajes coordinador MR ida y vuelta y de instructor RPA</t>
  </si>
  <si>
    <t>incluye pasajes, materiales y viaticos</t>
  </si>
  <si>
    <t>Pasajes y viaticos 1 especialista SERNANP en 4 AT
Pasajes y viaticos coordinador RC en 2 AT
Logistica y materiales de Talleres</t>
  </si>
  <si>
    <t>Pasajes y viaticos 2 especialista SERNANP y 2 OSINFOR en MF VP
Pasajes y viaticos 3 especialista SERNANP en MF PIF
Pasajes y viaticos coordinador RC en MF VP
viaticos 2 especialistas RC en MF PIF
Adquisicion de mochilas forestales 
Logistica de Talleres</t>
  </si>
  <si>
    <t>Pasajes coordinador MR idea y vuelta a 4/8 charlas</t>
  </si>
  <si>
    <t>Pasajes de ambos coordinadores idea y vuelta</t>
  </si>
  <si>
    <t>Costos diagramación</t>
  </si>
  <si>
    <t>incluye taller</t>
  </si>
  <si>
    <t>Estimación de filmación, edición y produción de video de acuerdo a mercado nacional.</t>
  </si>
  <si>
    <t>consultoría para elabpración de casos de uso, diseño maquetación</t>
  </si>
  <si>
    <t>Costos de diagramación</t>
  </si>
  <si>
    <t>Eventos adicionales</t>
  </si>
  <si>
    <t>Pasantía OSINFOR - GFP</t>
  </si>
  <si>
    <t>Renovación Planet</t>
  </si>
  <si>
    <t>Laptop para labores de monitoreo</t>
  </si>
  <si>
    <t>Dron (equipo San Martín)</t>
  </si>
  <si>
    <t>2 semanas, pasajes, viáticos</t>
  </si>
  <si>
    <t>Pago se servicios/consultorías para el desarrollo de productos (1 año)</t>
  </si>
  <si>
    <t>Pago se servicios/consultorías para el desarrollo de productos (3 equipos)</t>
  </si>
  <si>
    <t>Pago se servicios/consultorías para el desarrollo de productos (1 equipo)</t>
  </si>
  <si>
    <t>Difusión de Capacitaciones/Fortalecimiento de Capacidades realizados por R1, R2,R3,R4,R5</t>
  </si>
  <si>
    <t>D1.4.8</t>
  </si>
  <si>
    <t xml:space="preserve">Reuniones estratégicas con candidatos a autoridades subnacionales </t>
  </si>
  <si>
    <t>Número de reuniones de presentación y coordinacion con candidatos a autoridades de los GSN</t>
  </si>
  <si>
    <t>Articulación temprana con candidatos a Gobernadores Regionales y Alcaldes Provinciales para asegurar continuidad técnica</t>
  </si>
  <si>
    <t>Las autoridades de los GSN se preparan para el cierre de gestión 2023-2026</t>
  </si>
  <si>
    <t>Se brinda acompañamiento técnico a las autoridades de los GSN en el proceso de transición hacia el nuevo periodo de gobierno, en el contexto de las elecciones generales 2026</t>
  </si>
  <si>
    <t>Los GSNs mejoran sus procesos de gestión de abastecimiento</t>
  </si>
  <si>
    <t>UEs de sector de Educación y/o Salud implementan mejoras en los almacenes.</t>
  </si>
  <si>
    <t>R1.P6.1.2</t>
  </si>
  <si>
    <t>R1.P6.2.1</t>
  </si>
  <si>
    <t>R1.P6.3.1</t>
  </si>
  <si>
    <t>R1.P6.4.1</t>
  </si>
  <si>
    <t>R2.P6.1.1</t>
  </si>
  <si>
    <t>R2.P6.1.2</t>
  </si>
  <si>
    <t>Los procesos priorizados de recaudación del impuesto predial en los Gobiernos Locales son más eficaces y eficientes</t>
  </si>
  <si>
    <t>R3.P6.1.1</t>
  </si>
  <si>
    <t>R3.P6.1.2</t>
  </si>
  <si>
    <t xml:space="preserve">Acompañamiento al órgano rector en integridad y entidades del GN priorizadas en la implementación del modelo de integridad </t>
  </si>
  <si>
    <t>El órgano rector en integridad y entidades priorizadas del GN fortalecen el modelo de integridad</t>
  </si>
  <si>
    <t>R4.P5.1.1</t>
  </si>
  <si>
    <t>R4.P6.2.1</t>
  </si>
  <si>
    <t>P2.2.1</t>
  </si>
  <si>
    <t>Número de protocolos</t>
  </si>
  <si>
    <t>Operadores de justicia que participan en los procesos de recuperación de activos ilícitos cuentan con herramientas</t>
  </si>
  <si>
    <t>R5.P3.5.1</t>
  </si>
  <si>
    <t>GSN establece un plan de trabajo anual con el Programa</t>
  </si>
  <si>
    <t>Acompañamiento a la jefatura en el diseño y seguimiento de los Acuerdos de Conservación (AdC)</t>
  </si>
  <si>
    <t>Difusión de artículos académicos especializados sobre gobernanza de la biodiversidad</t>
  </si>
  <si>
    <t>Establecer intervenciones articuladas con los órganos rectores en materia ambiental</t>
  </si>
  <si>
    <t>GSNs con documentos de lineamientos para la mejora de la gestión de almacén.</t>
  </si>
  <si>
    <t>R1.P2.5.2</t>
  </si>
  <si>
    <t>Reuniones de coordinación con gerentes clave (Planeamiento y Presupuesto) de los GR</t>
  </si>
  <si>
    <t>Número de reuniones de coordinación con autoridades de los GR</t>
  </si>
  <si>
    <t>Visitas técnicas a los GSN (GR y MP)</t>
  </si>
  <si>
    <t>Número de visitas técnicas</t>
  </si>
  <si>
    <t>Pasajes, viáticos 2 semanas al mes</t>
  </si>
  <si>
    <t>Desplazamiento 3 dias a la semana /5 residentes/3 veces al mes. Pasaje Aéreo lima -destino /3 veces al año /2 personas</t>
  </si>
  <si>
    <t>Asistencia a UEs de Salud y Educación - Residente</t>
  </si>
  <si>
    <t>Asistencia a UEs de Salud y Educación - Itinerante</t>
  </si>
  <si>
    <t>Invitados: DGA, CEPLAN, Presupuesto. 6 regiones</t>
  </si>
  <si>
    <t>Invitados: PCM, DGA, CEPLAN. 6 regiones</t>
  </si>
  <si>
    <t>Proveedor</t>
  </si>
  <si>
    <t>Curso de elaboracion de proyectos en distintas tipologias medio ambientales. Pasajes y viáticos considerados para 3 funcionarios por cada uno de los 7 GR. El curso se desarrollará en Lima. No se considera alquiler del local para el evento de capacitación.</t>
  </si>
  <si>
    <t>02 Curso de implementacion BIM en los GSN. Cada curso de 2 dias de duración. Se considera un docente externo (pago y viaticos) como complemento al equipo GFP</t>
  </si>
  <si>
    <t xml:space="preserve">Activación de proyectos que estaban en estudio hacia la condicion de ejecución lo que lleva a la necesidad de incrementar las visitas.La experiencia de manejo de cartera de la Fase II nos lleva a proyectar que en el tercer año es donde se genera mas visitas.
Las decisiciones en gestion de inversiones se dan en buena proporcion  en el segundo semestre del año, por lo que es relevante la asistencia tecnica continua hasta diciembre con el fin de alcanzar las metas planteadas por el MEF. </t>
  </si>
  <si>
    <t>Contratacion de programadores para 2 propuestas tecnológicas.  Implica la contratación de un especialista (Programación, implementación, ejecución y asistencia técnica)</t>
  </si>
  <si>
    <t xml:space="preserve">(5 personas, 2 días, 2 noches). No incluye pasajes </t>
  </si>
  <si>
    <t>2 (Capacitación, visita a asociado). No incluye pasajes</t>
  </si>
  <si>
    <t>Coffee break, materiales, honorarios docentes</t>
  </si>
  <si>
    <t>Espacios de incidencia política</t>
  </si>
  <si>
    <t>Revisión y aprobación de publicaciones</t>
  </si>
  <si>
    <t>Capacitación ad-hoc a los GSN sobre gestión de riesgos, orientada a la provisión de SPP</t>
  </si>
  <si>
    <t xml:space="preserve">Charla especializada en Presupuesto Público </t>
  </si>
  <si>
    <t>Acompañamiento a los GSN en el proceso de planificación de las ACR</t>
  </si>
  <si>
    <t>Plan Operativo (POI) de SERNANP aprobado</t>
  </si>
  <si>
    <t>Acompañamiento a los GSN en el proceso de programación de la demanda de bienes y servicios relacionados a los ACR</t>
  </si>
  <si>
    <t xml:space="preserve">Acompañamiento a los GSN en el proceso de programación de la demanda de bienes y servicios relacionados a servicios priorizados en educación y salud </t>
  </si>
  <si>
    <t>Acompañamiento a los GSN en las fases de los procesos de contratación de bienes y servicios relacionados con las actividades de las ACR</t>
  </si>
  <si>
    <t>Acompañamiento a los GSNs en el proceso del seguimiento de la ejecución presupuestaria de gastos de las ACR</t>
  </si>
  <si>
    <t>Charla para la elaboración del POI, PMBSyO 2027-2029, adecuada elaboración de las solicitudes de pedido, elaboración de especificaciones técnicas y términos de referencia para bienes y servicios para ACR</t>
  </si>
  <si>
    <t>Personal de las ACR responsable de realizar pedidos se encuentra capacitado (Charla virtual).</t>
  </si>
  <si>
    <t>Personal de los GSN responsable de realizar pedidos se encuentra capacitado (Charla virtual).</t>
  </si>
  <si>
    <t>R1.P2.5.3</t>
  </si>
  <si>
    <t>Curso en Instrumentos de Sostenibilidad Financiera</t>
  </si>
  <si>
    <t>Gerencias de recursos naturales capacitados en el uso de instrumentos de sostenibilidad financiera</t>
  </si>
  <si>
    <t>R1.P2.1.2</t>
  </si>
  <si>
    <t>Recomendaciones sobre la gestión del abastecimiento relacionado con las ACR</t>
  </si>
  <si>
    <t>R1.P5.3.2</t>
  </si>
  <si>
    <t>GSNs con documentos de lineamientos para la mejora de la gestión de abastecimiento.</t>
  </si>
  <si>
    <t>ACR con documentos de lineamientos para la mejora de la gestión de abastecimiento.</t>
  </si>
  <si>
    <t>R1.P1.2.11</t>
  </si>
  <si>
    <t>R1.P1.2.12</t>
  </si>
  <si>
    <t>R1.P1.2.13</t>
  </si>
  <si>
    <t>Instrumento de Gestión</t>
  </si>
  <si>
    <t>Tecnología de la Información</t>
  </si>
  <si>
    <t>Seguimiento a la validación de TI en la gestión</t>
  </si>
  <si>
    <t>R1.P4.1.2</t>
  </si>
  <si>
    <t>Herramienta validada de evaluación de estado situacional del PP0057</t>
  </si>
  <si>
    <t>Acompañamiento a la implementacion de TI en la gestion</t>
  </si>
  <si>
    <t>Herramienta Implementada en los GSN de evaluación de estado situacional del PP0057</t>
  </si>
  <si>
    <t>R1.P4.1.3</t>
  </si>
  <si>
    <t>R1.P3.5.1</t>
  </si>
  <si>
    <t>Seguimiento de validación de plantilla de AO para PP0057</t>
  </si>
  <si>
    <t>Plantilla estandar validada de AO del PP0057</t>
  </si>
  <si>
    <t>Taller en la gestión de la programación, contrataciones y almacén</t>
  </si>
  <si>
    <t>R1.P1.2.14</t>
  </si>
  <si>
    <t>Acompañamiento a los GSN en la elaboración de la metodología de evaluación de las finanzas públicas (PEFA)</t>
  </si>
  <si>
    <t>GSN cuentan con metodología de evaluación de las finanzas públicas (PEFA)</t>
  </si>
  <si>
    <t>R1.P1.2.15</t>
  </si>
  <si>
    <t>R5.P4.2.1.</t>
  </si>
  <si>
    <t>Herramientas tecnológicas para la mejora de los procesos de recuperación de activos ilícitos</t>
  </si>
  <si>
    <t>Número de herramientas</t>
  </si>
  <si>
    <t>Herramienta</t>
  </si>
  <si>
    <t>Tecnologia de la Información</t>
  </si>
  <si>
    <t>Operadores de justicia cuentan con herramientas tecnológicas para la mejora del proceso de recuperación de activos ilícitos</t>
  </si>
  <si>
    <t>Guia metodologica para la implementación de Contratos de Administración en ACR</t>
  </si>
  <si>
    <t>SERNANP fortalece su institucionalidad en gobernanza</t>
  </si>
  <si>
    <t>CB.P3.4.1</t>
  </si>
  <si>
    <t>CB.P3.5.1</t>
  </si>
  <si>
    <t>CB.P3.5.2</t>
  </si>
  <si>
    <t>CB.P3.5.3</t>
  </si>
  <si>
    <t>CB.P3.5.4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</si>
</sst>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0"/>
      <color rgb="FF000000"/>
      <name val="Arial"/>
      <scheme val="minor"/>
    </font>
    <font>
      <sz val="10"/>
      <color rgb="FF000000"/>
      <name val="Arial"/>
      <family val="2"/>
      <scheme val="minor"/>
    </font>
    <font>
      <sz val="10"/>
      <color rgb="FF000000"/>
      <name val="Arial"/>
      <family val="4"/>
      <scheme val="minor"/>
    </font>
    <font>
      <sz val="8"/>
      <name val="Arial"/>
      <family val="2"/>
      <scheme val="minor"/>
    </font>
    <font>
      <sz val="9"/>
      <color rgb="FF000000"/>
      <name val="Arial"/>
      <family val="2"/>
      <scheme val="minor"/>
    </font>
    <font>
      <b/>
      <sz val="9"/>
      <color theme="1"/>
      <name val="Arial"/>
      <family val="2"/>
      <scheme val="minor"/>
    </font>
    <font>
      <b/>
      <sz val="9"/>
      <color theme="0"/>
      <name val="Arial"/>
      <family val="2"/>
      <scheme val="minor"/>
    </font>
    <font>
      <b/>
      <sz val="9"/>
      <color rgb="FFFFFFFF"/>
      <name val="Arial"/>
      <family val="2"/>
      <scheme val="minor"/>
    </font>
    <font>
      <b/>
      <sz val="9"/>
      <color rgb="FFFFC000"/>
      <name val="Arial"/>
      <family val="2"/>
      <scheme val="minor"/>
    </font>
    <font>
      <b/>
      <sz val="9"/>
      <color rgb="FF000000"/>
      <name val="Arial"/>
      <family val="2"/>
      <scheme val="minor"/>
    </font>
    <font>
      <sz val="9"/>
      <color theme="1"/>
      <name val="Arial"/>
      <family val="2"/>
      <scheme val="minor"/>
    </font>
    <font>
      <sz val="9"/>
      <name val="Arial"/>
      <family val="2"/>
      <scheme val="minor"/>
    </font>
    <font>
      <b/>
      <sz val="9"/>
      <name val="Arial"/>
      <family val="2"/>
      <scheme val="minor"/>
    </font>
    <font>
      <sz val="9"/>
      <color rgb="FFFF0000"/>
      <name val="Arial"/>
      <family val="2"/>
      <scheme val="minor"/>
    </font>
    <font>
      <b/>
      <sz val="14"/>
      <color theme="1"/>
      <name val="Arial"/>
      <family val="2"/>
      <scheme val="minor"/>
    </font>
    <font>
      <sz val="9"/>
      <color indexed="81"/>
      <name val="Tahoma"/>
      <family val="2"/>
    </font>
    <font>
      <b/>
      <sz val="9"/>
      <color indexed="81"/>
      <name val="Tahoma"/>
      <family val="2"/>
    </font>
    <font>
      <b/>
      <sz val="9"/>
      <color rgb="FFFF0000"/>
      <name val="Arial"/>
      <family val="2"/>
      <scheme val="minor"/>
    </font>
    <font>
      <sz val="10"/>
      <color rgb="FF000000"/>
      <name val="Arial"/>
      <family val="2"/>
      <scheme val="minor"/>
    </font>
    <font>
      <b/>
      <sz val="14"/>
      <color rgb="FF000000"/>
      <name val="Arial"/>
      <family val="2"/>
      <scheme val="minor"/>
    </font>
    <font>
      <b/>
      <sz val="10"/>
      <color rgb="FF000000"/>
      <name val="Arial"/>
      <family val="2"/>
      <scheme val="minor"/>
    </font>
  </fonts>
  <fills count="16">
    <fill>
      <patternFill patternType="none"/>
    </fill>
    <fill>
      <patternFill patternType="gray125"/>
    </fill>
    <fill>
      <patternFill patternType="solid">
        <fgColor rgb="FF002060"/>
        <bgColor rgb="FF002060"/>
      </patternFill>
    </fill>
    <fill>
      <patternFill patternType="solid">
        <fgColor rgb="FFFFC000"/>
        <bgColor rgb="FFFFC000"/>
      </patternFill>
    </fill>
    <fill>
      <patternFill patternType="solid">
        <fgColor rgb="FFFFD965"/>
        <bgColor rgb="FFFFD965"/>
      </patternFill>
    </fill>
    <fill>
      <patternFill patternType="solid">
        <fgColor rgb="FFD8D8D8"/>
        <bgColor rgb="FFD8D8D8"/>
      </patternFill>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0.249977111117893"/>
        <bgColor rgb="FFBFBFBF"/>
      </patternFill>
    </fill>
    <fill>
      <patternFill patternType="solid">
        <fgColor rgb="FFBFBFBF"/>
        <bgColor rgb="FFBFBFBF"/>
      </patternFill>
    </fill>
    <fill>
      <patternFill patternType="solid">
        <fgColor rgb="FFD9D9D9"/>
        <bgColor indexed="64"/>
      </patternFill>
    </fill>
    <fill>
      <patternFill patternType="solid">
        <fgColor rgb="FFBDD1FF"/>
        <bgColor indexed="64"/>
      </patternFill>
    </fill>
    <fill>
      <patternFill patternType="solid">
        <fgColor theme="4" tint="0.59999389629810485"/>
        <bgColor indexed="64"/>
      </patternFill>
    </fill>
    <fill>
      <patternFill patternType="solid">
        <fgColor rgb="FFFFC000"/>
        <bgColor indexed="64"/>
      </patternFill>
    </fill>
    <fill>
      <patternFill patternType="solid">
        <fgColor theme="6" tint="0.59999389629810485"/>
        <bgColor indexed="64"/>
      </patternFill>
    </fill>
  </fills>
  <borders count="3">
    <border>
      <left/>
      <right/>
      <top/>
      <bottom/>
      <diagonal/>
    </border>
    <border>
      <left/>
      <right style="medium">
        <color indexed="64"/>
      </right>
      <top style="medium">
        <color indexed="64"/>
      </top>
      <bottom/>
      <diagonal/>
    </border>
    <border>
      <left/>
      <right style="medium">
        <color indexed="64"/>
      </right>
      <top/>
      <bottom/>
      <diagonal/>
    </border>
  </borders>
  <cellStyleXfs count="5">
    <xf numFmtId="0" fontId="0" fillId="0" borderId="0"/>
    <xf numFmtId="0" fontId="1" fillId="0" borderId="0"/>
    <xf numFmtId="0" fontId="2" fillId="0" borderId="0"/>
    <xf numFmtId="0" fontId="2" fillId="0" borderId="0"/>
    <xf numFmtId="43" fontId="18" fillId="0" borderId="0" applyFont="0" applyFill="0" applyBorder="0" applyAlignment="0" applyProtection="0"/>
  </cellStyleXfs>
  <cellXfs count="151">
    <xf numFmtId="0" fontId="0" fillId="0" borderId="0" xfId="0"/>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xf numFmtId="0" fontId="8" fillId="2" borderId="0" xfId="0" applyFont="1" applyFill="1" applyAlignment="1">
      <alignment horizontal="center" vertical="center" wrapText="1"/>
    </xf>
    <xf numFmtId="0" fontId="9" fillId="14" borderId="1" xfId="0" applyFont="1" applyFill="1" applyBorder="1" applyAlignment="1">
      <alignment horizontal="left" vertical="center"/>
    </xf>
    <xf numFmtId="0" fontId="9" fillId="11" borderId="0" xfId="0" applyFont="1" applyFill="1" applyAlignment="1">
      <alignment horizontal="left" vertical="center" wrapText="1"/>
    </xf>
    <xf numFmtId="0" fontId="9" fillId="11" borderId="0" xfId="0" applyFont="1" applyFill="1" applyAlignment="1">
      <alignment vertical="center" wrapText="1"/>
    </xf>
    <xf numFmtId="0" fontId="9" fillId="11" borderId="0" xfId="0" applyFont="1" applyFill="1" applyAlignment="1">
      <alignment horizontal="center" vertical="center" wrapText="1"/>
    </xf>
    <xf numFmtId="0" fontId="4" fillId="0" borderId="0" xfId="0" applyFont="1" applyAlignment="1">
      <alignment horizontal="left" vertical="center" wrapText="1"/>
    </xf>
    <xf numFmtId="0" fontId="10" fillId="0" borderId="0" xfId="0" applyFont="1" applyAlignment="1">
      <alignment horizontal="left" vertical="center" wrapText="1"/>
    </xf>
    <xf numFmtId="0" fontId="5" fillId="13" borderId="0" xfId="0" applyFont="1" applyFill="1" applyAlignment="1">
      <alignment horizontal="center" vertical="center" wrapText="1"/>
    </xf>
    <xf numFmtId="0" fontId="4" fillId="0" borderId="0" xfId="0" applyFont="1" applyAlignment="1">
      <alignment vertical="center" wrapText="1"/>
    </xf>
    <xf numFmtId="0" fontId="9" fillId="0" borderId="0" xfId="0" applyFont="1" applyAlignment="1">
      <alignment horizontal="center" vertical="center" wrapText="1"/>
    </xf>
    <xf numFmtId="0" fontId="9" fillId="6" borderId="0" xfId="0" applyFont="1" applyFill="1" applyAlignment="1">
      <alignment horizontal="center" vertical="center" wrapText="1"/>
    </xf>
    <xf numFmtId="0" fontId="9" fillId="12" borderId="0" xfId="0" applyFont="1" applyFill="1" applyAlignment="1">
      <alignment horizontal="center" vertical="center" wrapText="1"/>
    </xf>
    <xf numFmtId="0" fontId="10" fillId="0" borderId="0" xfId="0" applyFont="1" applyAlignment="1">
      <alignment vertical="center" wrapText="1"/>
    </xf>
    <xf numFmtId="0" fontId="10" fillId="0" borderId="0" xfId="0" applyFont="1" applyAlignment="1">
      <alignment horizontal="justify"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9" fillId="13" borderId="0" xfId="0" applyFont="1" applyFill="1" applyAlignment="1">
      <alignment horizontal="center" vertical="center" wrapText="1"/>
    </xf>
    <xf numFmtId="0" fontId="9" fillId="10" borderId="0" xfId="0" applyFont="1" applyFill="1" applyAlignment="1">
      <alignment horizontal="center" vertical="center"/>
    </xf>
    <xf numFmtId="0" fontId="9" fillId="0" borderId="0" xfId="0" applyFont="1" applyAlignment="1">
      <alignment horizontal="center" vertical="center"/>
    </xf>
    <xf numFmtId="0" fontId="5" fillId="3" borderId="0" xfId="0" applyFont="1" applyFill="1" applyAlignment="1">
      <alignment horizontal="left" vertical="center"/>
    </xf>
    <xf numFmtId="0" fontId="9" fillId="14" borderId="2" xfId="0" applyFont="1" applyFill="1" applyBorder="1" applyAlignment="1">
      <alignment horizontal="left" vertical="center"/>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0" fontId="5" fillId="4" borderId="0" xfId="0" applyFont="1" applyFill="1" applyAlignment="1">
      <alignment horizontal="left" vertical="center"/>
    </xf>
    <xf numFmtId="0" fontId="5" fillId="4" borderId="0" xfId="0" applyFont="1" applyFill="1" applyAlignment="1">
      <alignment vertical="center" wrapText="1"/>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5" fillId="5" borderId="0" xfId="0" applyFont="1" applyFill="1" applyAlignment="1">
      <alignment horizontal="left" vertical="center"/>
    </xf>
    <xf numFmtId="0" fontId="5" fillId="5" borderId="0" xfId="0" applyFont="1" applyFill="1" applyAlignment="1">
      <alignment vertical="center" wrapText="1"/>
    </xf>
    <xf numFmtId="0" fontId="5" fillId="5" borderId="0" xfId="0" applyFont="1" applyFill="1" applyAlignment="1">
      <alignment horizontal="left" vertical="center" wrapText="1"/>
    </xf>
    <xf numFmtId="0" fontId="5" fillId="5" borderId="0" xfId="0" applyFont="1" applyFill="1" applyAlignment="1">
      <alignment horizontal="center" vertical="center" wrapText="1"/>
    </xf>
    <xf numFmtId="0" fontId="10" fillId="0" borderId="0" xfId="0" applyFont="1" applyAlignment="1">
      <alignment horizontal="left" vertical="center"/>
    </xf>
    <xf numFmtId="0" fontId="12" fillId="7" borderId="0" xfId="0" applyFont="1" applyFill="1" applyAlignment="1">
      <alignment horizontal="center" vertical="center" wrapText="1"/>
    </xf>
    <xf numFmtId="0" fontId="12" fillId="6" borderId="0" xfId="0" applyFont="1" applyFill="1" applyAlignment="1">
      <alignment horizontal="center" vertical="center" wrapText="1"/>
    </xf>
    <xf numFmtId="0" fontId="12" fillId="0" borderId="0" xfId="0" applyFont="1" applyAlignment="1">
      <alignment horizontal="center" vertical="center" wrapText="1"/>
    </xf>
    <xf numFmtId="0" fontId="5" fillId="6" borderId="0" xfId="0" applyFont="1" applyFill="1" applyAlignment="1">
      <alignment horizontal="center" vertical="center" wrapText="1"/>
    </xf>
    <xf numFmtId="0" fontId="11" fillId="0" borderId="0" xfId="0" applyFont="1" applyAlignment="1">
      <alignment horizontal="justify" vertical="center" wrapText="1"/>
    </xf>
    <xf numFmtId="0" fontId="11" fillId="0" borderId="0" xfId="0" applyFont="1" applyAlignment="1">
      <alignment horizontal="left" vertical="center"/>
    </xf>
    <xf numFmtId="0" fontId="5" fillId="9" borderId="0" xfId="0" applyFont="1" applyFill="1" applyAlignment="1">
      <alignment horizontal="center" vertical="center" wrapText="1"/>
    </xf>
    <xf numFmtId="0" fontId="12" fillId="12" borderId="0" xfId="0" applyFont="1" applyFill="1" applyAlignment="1">
      <alignment horizontal="center" vertical="center" wrapText="1"/>
    </xf>
    <xf numFmtId="0" fontId="9" fillId="9" borderId="0" xfId="0" applyFont="1" applyFill="1" applyAlignment="1">
      <alignment horizontal="center" vertical="center" wrapText="1"/>
    </xf>
    <xf numFmtId="0" fontId="12" fillId="4" borderId="0" xfId="0" applyFont="1" applyFill="1" applyAlignment="1">
      <alignment horizontal="left" vertical="center"/>
    </xf>
    <xf numFmtId="0" fontId="12" fillId="4" borderId="0" xfId="0" applyFont="1" applyFill="1" applyAlignment="1">
      <alignment vertical="center" wrapText="1"/>
    </xf>
    <xf numFmtId="0" fontId="12" fillId="4" borderId="0" xfId="0" applyFont="1" applyFill="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4" fillId="8" borderId="0" xfId="0" applyFont="1" applyFill="1"/>
    <xf numFmtId="0" fontId="12" fillId="3" borderId="0" xfId="0" applyFont="1" applyFill="1" applyAlignment="1">
      <alignment horizontal="left" wrapText="1"/>
    </xf>
    <xf numFmtId="0" fontId="12" fillId="3" borderId="0" xfId="0" applyFont="1" applyFill="1" applyAlignment="1">
      <alignment horizontal="center" wrapText="1"/>
    </xf>
    <xf numFmtId="0" fontId="9" fillId="4" borderId="0" xfId="0" applyFont="1" applyFill="1" applyAlignment="1">
      <alignment horizontal="left" vertical="center" wrapText="1"/>
    </xf>
    <xf numFmtId="0" fontId="9" fillId="4" borderId="0" xfId="0" applyFont="1" applyFill="1" applyAlignment="1">
      <alignment horizontal="center" vertical="center" wrapText="1"/>
    </xf>
    <xf numFmtId="0" fontId="9" fillId="5" borderId="0" xfId="0" applyFont="1" applyFill="1" applyAlignment="1">
      <alignment horizontal="left" vertical="center" wrapText="1"/>
    </xf>
    <xf numFmtId="0" fontId="9" fillId="5" borderId="0" xfId="0" applyFont="1" applyFill="1" applyAlignment="1">
      <alignment horizontal="center" vertical="center" wrapText="1"/>
    </xf>
    <xf numFmtId="0" fontId="11" fillId="0" borderId="0" xfId="3" applyFont="1" applyAlignment="1">
      <alignment horizontal="center" vertical="center" wrapText="1"/>
    </xf>
    <xf numFmtId="0" fontId="4" fillId="0" borderId="0" xfId="0" applyFont="1" applyAlignment="1">
      <alignment wrapText="1"/>
    </xf>
    <xf numFmtId="0" fontId="10" fillId="0" borderId="0" xfId="1" applyFont="1" applyAlignment="1">
      <alignment horizontal="left" vertical="center" wrapText="1"/>
    </xf>
    <xf numFmtId="0" fontId="12" fillId="5" borderId="0" xfId="0" applyFont="1" applyFill="1" applyAlignment="1">
      <alignment horizontal="left" vertical="center" wrapText="1"/>
    </xf>
    <xf numFmtId="0" fontId="12" fillId="5" borderId="0" xfId="0" applyFont="1" applyFill="1" applyAlignment="1">
      <alignment vertical="center" wrapText="1"/>
    </xf>
    <xf numFmtId="0" fontId="12" fillId="5" borderId="0" xfId="3" applyFont="1" applyFill="1" applyAlignment="1">
      <alignment horizontal="center" vertical="center" wrapText="1"/>
    </xf>
    <xf numFmtId="0" fontId="11" fillId="0" borderId="0" xfId="3" applyFont="1" applyAlignment="1">
      <alignment horizontal="center" vertical="center"/>
    </xf>
    <xf numFmtId="0" fontId="12" fillId="4" borderId="0" xfId="0" applyFont="1" applyFill="1" applyAlignment="1">
      <alignment horizontal="left" vertical="center" wrapText="1"/>
    </xf>
    <xf numFmtId="0" fontId="12" fillId="5" borderId="0" xfId="0" applyFont="1" applyFill="1" applyAlignment="1">
      <alignment horizontal="center" vertical="center" wrapText="1"/>
    </xf>
    <xf numFmtId="0" fontId="4" fillId="0" borderId="0" xfId="0" applyFont="1" applyAlignment="1">
      <alignment horizontal="left" vertical="center"/>
    </xf>
    <xf numFmtId="0" fontId="11" fillId="0" borderId="0" xfId="3" applyFont="1" applyAlignment="1">
      <alignment horizontal="left" vertical="center" wrapText="1"/>
    </xf>
    <xf numFmtId="0" fontId="12" fillId="5" borderId="0" xfId="3" applyFont="1" applyFill="1" applyAlignment="1">
      <alignment horizontal="left" vertical="center" wrapText="1"/>
    </xf>
    <xf numFmtId="0" fontId="14" fillId="0" borderId="0" xfId="0" applyFont="1" applyAlignment="1">
      <alignment horizontal="left" vertical="center"/>
    </xf>
    <xf numFmtId="0" fontId="9" fillId="14" borderId="0" xfId="0" applyFont="1" applyFill="1" applyAlignment="1">
      <alignment horizontal="center" vertical="center" wrapText="1"/>
    </xf>
    <xf numFmtId="0" fontId="9" fillId="14" borderId="0" xfId="0" applyFont="1" applyFill="1" applyAlignment="1">
      <alignment horizontal="left" vertical="center" wrapText="1"/>
    </xf>
    <xf numFmtId="0" fontId="4" fillId="0" borderId="0" xfId="0" applyFont="1" applyAlignment="1">
      <alignment horizontal="left"/>
    </xf>
    <xf numFmtId="0" fontId="9" fillId="14" borderId="0" xfId="0" applyFont="1" applyFill="1" applyAlignment="1">
      <alignment vertical="center"/>
    </xf>
    <xf numFmtId="0" fontId="5" fillId="0" borderId="0" xfId="0" applyFont="1" applyFill="1" applyAlignment="1">
      <alignment horizontal="center" vertical="center" wrapText="1"/>
    </xf>
    <xf numFmtId="0" fontId="4" fillId="0" borderId="0" xfId="0" applyFont="1" applyAlignment="1">
      <alignment horizontal="center" vertical="center" wrapText="1"/>
    </xf>
    <xf numFmtId="0" fontId="12" fillId="0" borderId="0" xfId="0" applyFont="1" applyFill="1" applyAlignment="1">
      <alignment horizontal="center" vertical="center" wrapText="1"/>
    </xf>
    <xf numFmtId="0" fontId="9" fillId="0"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xf>
    <xf numFmtId="0" fontId="11" fillId="0" borderId="0" xfId="0" applyFont="1" applyFill="1" applyAlignment="1">
      <alignment horizontal="left" vertical="center" wrapText="1"/>
    </xf>
    <xf numFmtId="0" fontId="17" fillId="0" borderId="0" xfId="0" applyFont="1" applyFill="1" applyAlignment="1">
      <alignment horizontal="center" vertical="center" wrapText="1"/>
    </xf>
    <xf numFmtId="0" fontId="4" fillId="0" borderId="0" xfId="0" applyFont="1" applyAlignment="1">
      <alignment horizontal="center" vertical="center" wrapText="1"/>
    </xf>
    <xf numFmtId="0" fontId="19" fillId="0" borderId="0" xfId="0" applyFont="1"/>
    <xf numFmtId="0" fontId="1" fillId="0" borderId="0" xfId="0" applyFont="1"/>
    <xf numFmtId="0" fontId="0" fillId="0" borderId="0" xfId="0" applyAlignment="1">
      <alignment wrapText="1"/>
    </xf>
    <xf numFmtId="0" fontId="0" fillId="0" borderId="0" xfId="0" applyAlignment="1">
      <alignment vertical="center"/>
    </xf>
    <xf numFmtId="43" fontId="1" fillId="0" borderId="0" xfId="4" applyFont="1" applyFill="1"/>
    <xf numFmtId="43" fontId="20" fillId="0" borderId="0" xfId="0" applyNumberFormat="1" applyFont="1"/>
    <xf numFmtId="0" fontId="1" fillId="0" borderId="0" xfId="0" applyFont="1" applyAlignment="1">
      <alignment horizontal="left" vertical="center"/>
    </xf>
    <xf numFmtId="0" fontId="1" fillId="0" borderId="0" xfId="0" applyFont="1" applyAlignment="1">
      <alignment vertical="center"/>
    </xf>
    <xf numFmtId="0" fontId="5" fillId="5" borderId="0" xfId="0" applyFont="1" applyFill="1" applyAlignment="1">
      <alignment horizontal="left" vertical="center" wrapText="1"/>
    </xf>
    <xf numFmtId="0" fontId="0" fillId="0" borderId="0" xfId="0" applyAlignment="1">
      <alignment horizontal="left" vertical="center" wrapText="1"/>
    </xf>
    <xf numFmtId="43" fontId="20" fillId="0" borderId="0" xfId="0" applyNumberFormat="1" applyFont="1" applyAlignment="1">
      <alignment vertical="center"/>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5" fillId="0" borderId="0" xfId="0" applyFont="1" applyFill="1" applyAlignment="1">
      <alignment horizontal="left" vertical="center"/>
    </xf>
    <xf numFmtId="0" fontId="10" fillId="0" borderId="0" xfId="0" applyFont="1" applyFill="1" applyAlignment="1">
      <alignment horizontal="left" vertical="center"/>
    </xf>
    <xf numFmtId="0" fontId="0" fillId="0" borderId="0" xfId="0" applyBorder="1" applyAlignment="1">
      <alignment horizontal="left" vertical="center" wrapText="1"/>
    </xf>
    <xf numFmtId="0" fontId="1" fillId="0" borderId="0" xfId="0" applyFont="1" applyBorder="1" applyAlignment="1">
      <alignment horizontal="left" vertical="center" wrapText="1"/>
    </xf>
    <xf numFmtId="43" fontId="1" fillId="0" borderId="0" xfId="0" applyNumberFormat="1" applyFont="1"/>
    <xf numFmtId="43" fontId="1" fillId="0" borderId="0" xfId="0" applyNumberFormat="1" applyFont="1" applyAlignment="1">
      <alignment vertical="center"/>
    </xf>
    <xf numFmtId="43" fontId="1" fillId="0" borderId="0" xfId="0" applyNumberFormat="1" applyFont="1" applyFill="1" applyBorder="1" applyAlignment="1">
      <alignment vertical="center"/>
    </xf>
    <xf numFmtId="0" fontId="0" fillId="0" borderId="0" xfId="0" applyAlignment="1">
      <alignment vertical="center" wrapText="1"/>
    </xf>
    <xf numFmtId="43" fontId="0" fillId="0" borderId="0" xfId="0" applyNumberFormat="1"/>
    <xf numFmtId="0" fontId="9" fillId="0" borderId="0" xfId="0" applyFont="1" applyFill="1" applyAlignment="1">
      <alignment vertical="center" wrapText="1"/>
    </xf>
    <xf numFmtId="0" fontId="4" fillId="0" borderId="0" xfId="0" applyFont="1" applyFill="1" applyAlignment="1">
      <alignment horizontal="left" vertical="center" wrapText="1"/>
    </xf>
    <xf numFmtId="0" fontId="9" fillId="0" borderId="0" xfId="0" applyFont="1" applyFill="1" applyAlignment="1">
      <alignment horizontal="center" vertical="center"/>
    </xf>
    <xf numFmtId="0" fontId="10" fillId="0" borderId="0" xfId="0" applyFont="1" applyBorder="1" applyAlignment="1">
      <alignment horizontal="left" vertical="center" wrapText="1"/>
    </xf>
    <xf numFmtId="0" fontId="10" fillId="0" borderId="0" xfId="0" applyFont="1" applyAlignment="1">
      <alignment horizontal="left" wrapText="1"/>
    </xf>
    <xf numFmtId="0" fontId="12" fillId="3" borderId="0" xfId="0" applyFont="1" applyFill="1" applyAlignment="1">
      <alignment horizontal="left" vertical="center"/>
    </xf>
    <xf numFmtId="0" fontId="12" fillId="3" borderId="0" xfId="0" applyFont="1" applyFill="1" applyAlignment="1">
      <alignment vertical="center" wrapText="1"/>
    </xf>
    <xf numFmtId="0" fontId="20" fillId="15" borderId="0" xfId="0" applyFont="1" applyFill="1" applyAlignment="1">
      <alignment horizontal="left" vertical="center"/>
    </xf>
    <xf numFmtId="43" fontId="20" fillId="15" borderId="0" xfId="0" applyNumberFormat="1" applyFont="1" applyFill="1"/>
    <xf numFmtId="0" fontId="10" fillId="15" borderId="0" xfId="0" applyFont="1" applyFill="1" applyAlignment="1">
      <alignment horizontal="left" vertical="center"/>
    </xf>
    <xf numFmtId="43" fontId="20" fillId="15" borderId="0" xfId="0" applyNumberFormat="1" applyFont="1" applyFill="1" applyAlignment="1">
      <alignment vertical="center"/>
    </xf>
    <xf numFmtId="0" fontId="0" fillId="15" borderId="0" xfId="0" applyFill="1"/>
    <xf numFmtId="0" fontId="11" fillId="0" borderId="0" xfId="0" applyFont="1"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wrapText="1"/>
    </xf>
    <xf numFmtId="0" fontId="12" fillId="5" borderId="0" xfId="0" applyFont="1" applyFill="1" applyAlignment="1">
      <alignment horizontal="left" vertical="center" wrapText="1"/>
    </xf>
    <xf numFmtId="0" fontId="4" fillId="0" borderId="0" xfId="0" applyFont="1" applyFill="1" applyAlignment="1">
      <alignment horizontal="center" vertical="center" wrapText="1"/>
    </xf>
    <xf numFmtId="0" fontId="12" fillId="0" borderId="0" xfId="3" applyFont="1" applyFill="1" applyAlignment="1">
      <alignment horizontal="center" vertical="center" wrapText="1"/>
    </xf>
    <xf numFmtId="0" fontId="4" fillId="0" borderId="0" xfId="0" applyFont="1" applyFill="1"/>
    <xf numFmtId="0" fontId="8" fillId="2" borderId="0" xfId="0" applyFont="1" applyFill="1" applyAlignment="1">
      <alignment horizontal="center" vertical="center" wrapText="1"/>
    </xf>
    <xf numFmtId="0" fontId="7"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0" borderId="0" xfId="0" applyFont="1" applyAlignment="1">
      <alignment horizontal="center" vertical="center" wrapText="1"/>
    </xf>
    <xf numFmtId="0" fontId="12" fillId="5" borderId="0" xfId="0" applyFont="1" applyFill="1" applyAlignment="1">
      <alignment horizontal="left" vertical="center" wrapText="1"/>
    </xf>
    <xf numFmtId="0" fontId="12" fillId="4" borderId="0" xfId="0" applyFont="1" applyFill="1" applyAlignment="1">
      <alignment horizontal="left" vertical="center" wrapText="1"/>
    </xf>
    <xf numFmtId="0" fontId="9" fillId="4" borderId="0" xfId="0" applyFont="1" applyFill="1" applyAlignment="1">
      <alignment horizontal="left" vertical="center" wrapText="1"/>
    </xf>
    <xf numFmtId="0" fontId="20" fillId="15" borderId="0" xfId="0" applyFont="1" applyFill="1" applyAlignment="1">
      <alignment horizontal="left" vertical="center"/>
    </xf>
    <xf numFmtId="0" fontId="20"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Fill="1" applyBorder="1" applyAlignment="1">
      <alignment horizontal="left" vertical="center" wrapText="1"/>
    </xf>
    <xf numFmtId="0" fontId="5" fillId="5" borderId="0" xfId="0" applyFont="1" applyFill="1" applyAlignment="1">
      <alignment horizontal="left" vertical="center" wrapText="1"/>
    </xf>
    <xf numFmtId="0" fontId="20" fillId="14" borderId="0" xfId="0" applyFont="1" applyFill="1" applyAlignment="1">
      <alignment horizontal="left" vertical="center"/>
    </xf>
    <xf numFmtId="0" fontId="1" fillId="14" borderId="0" xfId="0" applyFont="1" applyFill="1" applyAlignment="1">
      <alignment horizontal="left" vertical="center"/>
    </xf>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Border="1" applyAlignment="1">
      <alignment horizontal="left" vertical="center"/>
    </xf>
    <xf numFmtId="0" fontId="1" fillId="0" borderId="0" xfId="0" applyFont="1" applyBorder="1" applyAlignment="1">
      <alignment horizontal="left" vertical="center"/>
    </xf>
    <xf numFmtId="0" fontId="20" fillId="15" borderId="0" xfId="0" applyFont="1" applyFill="1" applyBorder="1" applyAlignment="1">
      <alignment horizontal="left" vertical="center" wrapText="1"/>
    </xf>
    <xf numFmtId="0" fontId="20" fillId="0" borderId="0" xfId="0" applyFont="1" applyAlignment="1">
      <alignment horizontal="left" vertical="center"/>
    </xf>
    <xf numFmtId="0" fontId="20" fillId="1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0" xfId="0" applyFont="1" applyFill="1" applyAlignment="1">
      <alignment horizontal="left" vertical="center" wrapText="1"/>
    </xf>
    <xf numFmtId="0" fontId="20" fillId="15" borderId="0" xfId="0" applyFont="1" applyFill="1" applyAlignment="1">
      <alignment horizontal="left"/>
    </xf>
    <xf numFmtId="0" fontId="4" fillId="0" borderId="0" xfId="0" applyFont="1" applyFill="1" applyAlignment="1">
      <alignment vertical="center" wrapText="1"/>
    </xf>
  </cellXfs>
  <cellStyles count="5">
    <cellStyle name="Millares" xfId="4" builtinId="3"/>
    <cellStyle name="Normal" xfId="0" builtinId="0"/>
    <cellStyle name="Normal 2 2" xfId="3" xr:uid="{67CA2F6E-A7DF-46C9-AC54-F7D4007059D6}"/>
    <cellStyle name="Normal 3" xfId="2" xr:uid="{C4814CAD-6685-4F29-A8EA-397B2E8C55D5}"/>
    <cellStyle name="Normal 4" xfId="1" xr:uid="{081A440E-39F4-4DD0-ADE5-B667799F2522}"/>
  </cellStyles>
  <dxfs count="4">
    <dxf>
      <font>
        <b/>
        <i val="0"/>
        <color auto="1"/>
      </font>
      <fill>
        <patternFill>
          <bgColor theme="0" tint="-0.24994659260841701"/>
        </patternFill>
      </fill>
    </dxf>
    <dxf>
      <font>
        <b/>
        <i val="0"/>
        <color auto="1"/>
      </font>
      <fill>
        <patternFill>
          <bgColor theme="0" tint="-0.24994659260841701"/>
        </patternFill>
      </fill>
    </dxf>
    <dxf>
      <font>
        <color auto="1"/>
      </font>
      <fill>
        <patternFill>
          <bgColor theme="0" tint="-0.24994659260841701"/>
        </patternFill>
      </fill>
    </dxf>
    <dxf>
      <font>
        <b/>
        <i val="0"/>
        <strike val="0"/>
        <color auto="1"/>
      </font>
      <fill>
        <patternFill>
          <bgColor theme="0" tint="-0.24994659260841701"/>
        </patternFill>
      </fill>
    </dxf>
  </dxfs>
  <tableStyles count="0" defaultTableStyle="TableStyleMedium2" defaultPivotStyle="PivotStyleLight16"/>
  <colors>
    <mruColors>
      <color rgb="FFBD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15"/>
  <sheetViews>
    <sheetView tabSelected="1" zoomScale="120" zoomScaleNormal="120" zoomScaleSheetLayoutView="100" workbookViewId="0">
      <pane xSplit="3" ySplit="3" topLeftCell="D194" activePane="bottomRight" state="frozen"/>
      <selection pane="topRight" activeCell="D1" sqref="D1"/>
      <selection pane="bottomLeft" activeCell="A5" sqref="A5"/>
      <selection pane="bottomRight" activeCell="C198" sqref="C198"/>
    </sheetView>
  </sheetViews>
  <sheetFormatPr baseColWidth="10" defaultColWidth="12.42578125" defaultRowHeight="21.95" customHeight="1" x14ac:dyDescent="0.2"/>
  <cols>
    <col min="1" max="1" width="4.28515625" style="1" customWidth="1"/>
    <col min="2" max="2" width="10.5703125" style="66" customWidth="1"/>
    <col min="3" max="3" width="59.28515625" style="12" customWidth="1"/>
    <col min="4" max="4" width="32.28515625" style="1" customWidth="1"/>
    <col min="5" max="5" width="9.42578125" style="1" customWidth="1"/>
    <col min="6" max="6" width="19.140625" style="1" customWidth="1"/>
    <col min="7" max="7" width="21.7109375" style="1" customWidth="1"/>
    <col min="8" max="8" width="45.28515625" style="9" customWidth="1"/>
    <col min="9" max="20" width="5.140625" style="13" customWidth="1"/>
    <col min="21" max="21" width="9.42578125" style="13" customWidth="1"/>
    <col min="22" max="22" width="5.85546875" style="3" customWidth="1"/>
    <col min="23" max="16384" width="12.42578125" style="3"/>
  </cols>
  <sheetData>
    <row r="1" spans="2:21" ht="21.95" customHeight="1" x14ac:dyDescent="0.2">
      <c r="B1" s="69" t="s">
        <v>401</v>
      </c>
      <c r="C1" s="16"/>
      <c r="D1" s="48"/>
      <c r="E1" s="48"/>
      <c r="F1" s="48"/>
      <c r="G1" s="48"/>
      <c r="H1" s="10"/>
      <c r="I1" s="2"/>
      <c r="J1" s="2"/>
      <c r="K1" s="2"/>
      <c r="L1" s="2"/>
      <c r="M1" s="2"/>
      <c r="N1" s="2"/>
      <c r="O1" s="2"/>
      <c r="P1" s="2"/>
      <c r="Q1" s="2"/>
      <c r="R1" s="2"/>
      <c r="S1" s="2"/>
      <c r="T1" s="2"/>
      <c r="U1" s="2"/>
    </row>
    <row r="2" spans="2:21" ht="12" x14ac:dyDescent="0.2">
      <c r="B2" s="127" t="s">
        <v>0</v>
      </c>
      <c r="C2" s="128"/>
      <c r="D2" s="127" t="s">
        <v>1</v>
      </c>
      <c r="E2" s="126" t="s">
        <v>114</v>
      </c>
      <c r="F2" s="127" t="s">
        <v>2</v>
      </c>
      <c r="G2" s="127" t="s">
        <v>3</v>
      </c>
      <c r="H2" s="127" t="s">
        <v>4</v>
      </c>
      <c r="I2" s="125" t="s">
        <v>406</v>
      </c>
      <c r="J2" s="125"/>
      <c r="K2" s="125"/>
      <c r="L2" s="125"/>
      <c r="M2" s="125"/>
      <c r="N2" s="125"/>
      <c r="O2" s="125"/>
      <c r="P2" s="125"/>
      <c r="Q2" s="125"/>
      <c r="R2" s="125"/>
      <c r="S2" s="125"/>
      <c r="T2" s="125"/>
      <c r="U2" s="125" t="s">
        <v>113</v>
      </c>
    </row>
    <row r="3" spans="2:21" ht="21.95" customHeight="1" thickBot="1" x14ac:dyDescent="0.25">
      <c r="B3" s="128"/>
      <c r="C3" s="128"/>
      <c r="D3" s="128"/>
      <c r="E3" s="126"/>
      <c r="F3" s="128"/>
      <c r="G3" s="128"/>
      <c r="H3" s="128"/>
      <c r="I3" s="4" t="s">
        <v>5</v>
      </c>
      <c r="J3" s="4" t="s">
        <v>6</v>
      </c>
      <c r="K3" s="4" t="s">
        <v>7</v>
      </c>
      <c r="L3" s="4" t="s">
        <v>8</v>
      </c>
      <c r="M3" s="4" t="s">
        <v>9</v>
      </c>
      <c r="N3" s="4" t="s">
        <v>10</v>
      </c>
      <c r="O3" s="4" t="s">
        <v>11</v>
      </c>
      <c r="P3" s="4" t="s">
        <v>12</v>
      </c>
      <c r="Q3" s="4" t="s">
        <v>13</v>
      </c>
      <c r="R3" s="4" t="s">
        <v>14</v>
      </c>
      <c r="S3" s="4" t="s">
        <v>15</v>
      </c>
      <c r="T3" s="4" t="s">
        <v>16</v>
      </c>
      <c r="U3" s="125"/>
    </row>
    <row r="4" spans="2:21" ht="21.95" customHeight="1" x14ac:dyDescent="0.2">
      <c r="B4" s="5" t="s">
        <v>335</v>
      </c>
      <c r="C4" s="5" t="s">
        <v>336</v>
      </c>
      <c r="D4" s="70"/>
      <c r="E4" s="70"/>
      <c r="F4" s="70"/>
      <c r="G4" s="70"/>
      <c r="H4" s="71"/>
      <c r="I4" s="70"/>
      <c r="J4" s="70"/>
      <c r="K4" s="70"/>
      <c r="L4" s="70"/>
      <c r="M4" s="70"/>
      <c r="N4" s="70"/>
      <c r="O4" s="70"/>
      <c r="P4" s="70"/>
      <c r="Q4" s="70"/>
      <c r="R4" s="70"/>
      <c r="S4" s="70"/>
      <c r="T4" s="70"/>
      <c r="U4" s="70"/>
    </row>
    <row r="5" spans="2:21" ht="21.95" customHeight="1" x14ac:dyDescent="0.2">
      <c r="B5" s="7" t="s">
        <v>340</v>
      </c>
      <c r="C5" s="7" t="s">
        <v>283</v>
      </c>
      <c r="D5" s="8"/>
      <c r="E5" s="8"/>
      <c r="F5" s="8"/>
      <c r="G5" s="8"/>
      <c r="H5" s="6"/>
      <c r="I5" s="8"/>
      <c r="J5" s="8"/>
      <c r="K5" s="8"/>
      <c r="L5" s="8"/>
      <c r="M5" s="8"/>
      <c r="N5" s="8"/>
      <c r="O5" s="8"/>
      <c r="P5" s="8"/>
      <c r="Q5" s="8"/>
      <c r="R5" s="8"/>
      <c r="S5" s="8"/>
      <c r="T5" s="8"/>
      <c r="U5" s="8"/>
    </row>
    <row r="6" spans="2:21" ht="21.95" customHeight="1" x14ac:dyDescent="0.2">
      <c r="B6" s="10" t="s">
        <v>344</v>
      </c>
      <c r="C6" s="10" t="s">
        <v>284</v>
      </c>
      <c r="D6" s="48" t="s">
        <v>285</v>
      </c>
      <c r="E6" s="11">
        <f>U6</f>
        <v>2</v>
      </c>
      <c r="F6" s="48" t="s">
        <v>55</v>
      </c>
      <c r="G6" s="48" t="s">
        <v>286</v>
      </c>
      <c r="H6" s="10" t="s">
        <v>287</v>
      </c>
      <c r="J6" s="13">
        <v>1</v>
      </c>
      <c r="K6" s="77"/>
      <c r="O6" s="77"/>
      <c r="P6" s="13">
        <v>1</v>
      </c>
      <c r="Q6" s="77"/>
      <c r="U6" s="15">
        <f>SUM(I6:T6)</f>
        <v>2</v>
      </c>
    </row>
    <row r="7" spans="2:21" ht="21.95" customHeight="1" x14ac:dyDescent="0.2">
      <c r="B7" s="10" t="s">
        <v>345</v>
      </c>
      <c r="C7" s="16" t="s">
        <v>288</v>
      </c>
      <c r="D7" s="48" t="s">
        <v>289</v>
      </c>
      <c r="E7" s="11">
        <f>U7</f>
        <v>2</v>
      </c>
      <c r="F7" s="48" t="s">
        <v>55</v>
      </c>
      <c r="G7" s="48" t="s">
        <v>286</v>
      </c>
      <c r="H7" s="10" t="s">
        <v>287</v>
      </c>
      <c r="J7" s="13">
        <v>1</v>
      </c>
      <c r="K7" s="77"/>
      <c r="P7" s="13">
        <v>1</v>
      </c>
      <c r="Q7" s="77"/>
      <c r="U7" s="15">
        <f>SUM(I7:T7)</f>
        <v>2</v>
      </c>
    </row>
    <row r="8" spans="2:21" ht="21.95" customHeight="1" x14ac:dyDescent="0.2">
      <c r="B8" s="7" t="s">
        <v>341</v>
      </c>
      <c r="C8" s="7" t="s">
        <v>290</v>
      </c>
      <c r="D8" s="8"/>
      <c r="E8" s="8"/>
      <c r="F8" s="8"/>
      <c r="G8" s="8"/>
      <c r="H8" s="6"/>
      <c r="I8" s="8"/>
      <c r="J8" s="8"/>
      <c r="K8" s="8"/>
      <c r="L8" s="8"/>
      <c r="M8" s="8"/>
      <c r="N8" s="8"/>
      <c r="O8" s="8"/>
      <c r="P8" s="8"/>
      <c r="Q8" s="8"/>
      <c r="R8" s="8"/>
      <c r="S8" s="8"/>
      <c r="T8" s="8"/>
      <c r="U8" s="8"/>
    </row>
    <row r="9" spans="2:21" ht="24" x14ac:dyDescent="0.2">
      <c r="B9" s="106" t="s">
        <v>346</v>
      </c>
      <c r="C9" s="16" t="s">
        <v>291</v>
      </c>
      <c r="D9" s="48" t="s">
        <v>292</v>
      </c>
      <c r="E9" s="11">
        <f>U9</f>
        <v>1</v>
      </c>
      <c r="F9" s="48" t="s">
        <v>293</v>
      </c>
      <c r="G9" s="48" t="s">
        <v>286</v>
      </c>
      <c r="H9" s="10" t="s">
        <v>294</v>
      </c>
      <c r="J9" s="77"/>
      <c r="T9" s="13">
        <v>1</v>
      </c>
      <c r="U9" s="15">
        <f>SUM(I9:T9)</f>
        <v>1</v>
      </c>
    </row>
    <row r="10" spans="2:21" ht="21.95" customHeight="1" x14ac:dyDescent="0.2">
      <c r="B10" s="7" t="s">
        <v>342</v>
      </c>
      <c r="C10" s="7" t="s">
        <v>295</v>
      </c>
      <c r="D10" s="8"/>
      <c r="E10" s="8"/>
      <c r="F10" s="8"/>
      <c r="G10" s="8"/>
      <c r="H10" s="6"/>
      <c r="I10" s="8"/>
      <c r="J10" s="8"/>
      <c r="K10" s="8"/>
      <c r="L10" s="8"/>
      <c r="M10" s="8"/>
      <c r="N10" s="8"/>
      <c r="O10" s="8"/>
      <c r="P10" s="8"/>
      <c r="Q10" s="8"/>
      <c r="R10" s="8"/>
      <c r="S10" s="8"/>
      <c r="T10" s="8"/>
      <c r="U10" s="8"/>
    </row>
    <row r="11" spans="2:21" ht="21.95" customHeight="1" x14ac:dyDescent="0.2">
      <c r="B11" s="107" t="s">
        <v>347</v>
      </c>
      <c r="C11" s="10" t="s">
        <v>296</v>
      </c>
      <c r="D11" s="48" t="s">
        <v>47</v>
      </c>
      <c r="E11" s="11">
        <f>U11</f>
        <v>12</v>
      </c>
      <c r="F11" s="48" t="s">
        <v>370</v>
      </c>
      <c r="G11" s="48" t="s">
        <v>297</v>
      </c>
      <c r="H11" s="10" t="s">
        <v>298</v>
      </c>
      <c r="I11" s="14">
        <v>1</v>
      </c>
      <c r="J11" s="14">
        <v>1</v>
      </c>
      <c r="K11" s="14">
        <v>1</v>
      </c>
      <c r="L11" s="14">
        <v>1</v>
      </c>
      <c r="M11" s="14">
        <v>1</v>
      </c>
      <c r="N11" s="14">
        <v>1</v>
      </c>
      <c r="O11" s="14">
        <v>1</v>
      </c>
      <c r="P11" s="14">
        <v>1</v>
      </c>
      <c r="Q11" s="14">
        <v>1</v>
      </c>
      <c r="R11" s="14">
        <v>1</v>
      </c>
      <c r="S11" s="14">
        <v>1</v>
      </c>
      <c r="T11" s="14">
        <v>1</v>
      </c>
      <c r="U11" s="15">
        <f>SUM(I11:T11)</f>
        <v>12</v>
      </c>
    </row>
    <row r="12" spans="2:21" ht="21.95" customHeight="1" x14ac:dyDescent="0.2">
      <c r="B12" s="107" t="s">
        <v>348</v>
      </c>
      <c r="C12" s="10" t="s">
        <v>299</v>
      </c>
      <c r="D12" s="48" t="s">
        <v>47</v>
      </c>
      <c r="E12" s="11">
        <f>U12</f>
        <v>2</v>
      </c>
      <c r="F12" s="48" t="s">
        <v>370</v>
      </c>
      <c r="G12" s="48" t="s">
        <v>297</v>
      </c>
      <c r="H12" s="10" t="s">
        <v>300</v>
      </c>
      <c r="J12" s="13">
        <v>1</v>
      </c>
      <c r="K12" s="77"/>
      <c r="P12" s="13">
        <v>1</v>
      </c>
      <c r="Q12" s="77"/>
      <c r="U12" s="15">
        <f>SUM(I12:T12)</f>
        <v>2</v>
      </c>
    </row>
    <row r="13" spans="2:21" ht="21.95" customHeight="1" x14ac:dyDescent="0.2">
      <c r="B13" s="7" t="s">
        <v>343</v>
      </c>
      <c r="C13" s="7" t="s">
        <v>301</v>
      </c>
      <c r="D13" s="8"/>
      <c r="E13" s="8"/>
      <c r="F13" s="8"/>
      <c r="G13" s="8"/>
      <c r="H13" s="6"/>
      <c r="I13" s="8"/>
      <c r="J13" s="8"/>
      <c r="K13" s="8"/>
      <c r="L13" s="8"/>
      <c r="M13" s="8"/>
      <c r="N13" s="8"/>
      <c r="O13" s="8"/>
      <c r="P13" s="8"/>
      <c r="Q13" s="8"/>
      <c r="R13" s="8"/>
      <c r="S13" s="8"/>
      <c r="T13" s="8"/>
      <c r="U13" s="8"/>
    </row>
    <row r="14" spans="2:21" ht="21.95" customHeight="1" x14ac:dyDescent="0.2">
      <c r="B14" s="107" t="s">
        <v>351</v>
      </c>
      <c r="C14" s="17" t="s">
        <v>669</v>
      </c>
      <c r="D14" s="48" t="s">
        <v>47</v>
      </c>
      <c r="E14" s="11">
        <f>U14</f>
        <v>2</v>
      </c>
      <c r="F14" s="48" t="s">
        <v>370</v>
      </c>
      <c r="G14" s="48" t="s">
        <v>297</v>
      </c>
      <c r="H14" s="10" t="s">
        <v>356</v>
      </c>
      <c r="N14" s="14">
        <v>1</v>
      </c>
      <c r="T14" s="14">
        <v>1</v>
      </c>
      <c r="U14" s="15">
        <f t="shared" ref="U14:U21" si="0">SUM(I14:T14)</f>
        <v>2</v>
      </c>
    </row>
    <row r="15" spans="2:21" ht="21.95" customHeight="1" x14ac:dyDescent="0.2">
      <c r="B15" s="107" t="s">
        <v>352</v>
      </c>
      <c r="C15" s="16" t="s">
        <v>302</v>
      </c>
      <c r="D15" s="48" t="s">
        <v>47</v>
      </c>
      <c r="E15" s="11">
        <f>U15</f>
        <v>2</v>
      </c>
      <c r="F15" s="48" t="s">
        <v>370</v>
      </c>
      <c r="G15" s="48" t="s">
        <v>297</v>
      </c>
      <c r="H15" s="10" t="s">
        <v>303</v>
      </c>
      <c r="K15" s="77"/>
      <c r="O15" s="13">
        <v>1</v>
      </c>
      <c r="Q15" s="77"/>
      <c r="R15" s="13">
        <v>1</v>
      </c>
      <c r="U15" s="15">
        <f t="shared" si="0"/>
        <v>2</v>
      </c>
    </row>
    <row r="16" spans="2:21" ht="60" x14ac:dyDescent="0.2">
      <c r="B16" s="107" t="s">
        <v>353</v>
      </c>
      <c r="C16" s="18" t="s">
        <v>278</v>
      </c>
      <c r="D16" s="49" t="s">
        <v>279</v>
      </c>
      <c r="E16" s="20">
        <f t="shared" ref="E16:E21" si="1">U16</f>
        <v>12</v>
      </c>
      <c r="F16" s="49" t="s">
        <v>55</v>
      </c>
      <c r="G16" s="49" t="s">
        <v>70</v>
      </c>
      <c r="H16" s="19" t="s">
        <v>281</v>
      </c>
      <c r="I16" s="21">
        <v>1</v>
      </c>
      <c r="J16" s="21">
        <v>1</v>
      </c>
      <c r="K16" s="21">
        <v>1</v>
      </c>
      <c r="L16" s="21">
        <v>1</v>
      </c>
      <c r="M16" s="21">
        <v>1</v>
      </c>
      <c r="N16" s="21">
        <v>1</v>
      </c>
      <c r="O16" s="21">
        <v>1</v>
      </c>
      <c r="P16" s="21">
        <v>1</v>
      </c>
      <c r="Q16" s="21">
        <v>1</v>
      </c>
      <c r="R16" s="21">
        <v>1</v>
      </c>
      <c r="S16" s="21">
        <v>1</v>
      </c>
      <c r="T16" s="21">
        <v>1</v>
      </c>
      <c r="U16" s="15">
        <f t="shared" si="0"/>
        <v>12</v>
      </c>
    </row>
    <row r="17" spans="1:21" ht="60" x14ac:dyDescent="0.2">
      <c r="B17" s="107" t="s">
        <v>354</v>
      </c>
      <c r="C17" s="18" t="s">
        <v>619</v>
      </c>
      <c r="D17" s="49" t="s">
        <v>334</v>
      </c>
      <c r="E17" s="20">
        <f t="shared" si="1"/>
        <v>3</v>
      </c>
      <c r="F17" s="49" t="s">
        <v>55</v>
      </c>
      <c r="G17" s="49" t="s">
        <v>70</v>
      </c>
      <c r="H17" s="19" t="s">
        <v>282</v>
      </c>
      <c r="I17" s="22"/>
      <c r="J17" s="22"/>
      <c r="K17" s="22"/>
      <c r="L17" s="21">
        <v>1</v>
      </c>
      <c r="M17" s="22"/>
      <c r="N17" s="22"/>
      <c r="O17" s="21">
        <v>1</v>
      </c>
      <c r="P17" s="21">
        <v>1</v>
      </c>
      <c r="Q17" s="22"/>
      <c r="R17" s="22"/>
      <c r="S17" s="22"/>
      <c r="T17" s="22"/>
      <c r="U17" s="15">
        <f t="shared" si="0"/>
        <v>3</v>
      </c>
    </row>
    <row r="18" spans="1:21" ht="60" x14ac:dyDescent="0.2">
      <c r="B18" s="107" t="s">
        <v>355</v>
      </c>
      <c r="C18" s="18" t="s">
        <v>280</v>
      </c>
      <c r="D18" s="49" t="s">
        <v>334</v>
      </c>
      <c r="E18" s="20">
        <f t="shared" si="1"/>
        <v>1</v>
      </c>
      <c r="F18" s="49" t="s">
        <v>55</v>
      </c>
      <c r="G18" s="49" t="s">
        <v>70</v>
      </c>
      <c r="H18" s="19" t="s">
        <v>281</v>
      </c>
      <c r="I18" s="22"/>
      <c r="J18" s="22"/>
      <c r="K18" s="22"/>
      <c r="L18" s="22"/>
      <c r="M18" s="22"/>
      <c r="N18" s="22"/>
      <c r="O18" s="21">
        <v>1</v>
      </c>
      <c r="P18" s="22"/>
      <c r="Q18" s="22"/>
      <c r="R18" s="22"/>
      <c r="S18" s="22"/>
      <c r="T18" s="22"/>
      <c r="U18" s="15">
        <f t="shared" si="0"/>
        <v>1</v>
      </c>
    </row>
    <row r="19" spans="1:21" ht="27.75" customHeight="1" x14ac:dyDescent="0.2">
      <c r="A19" s="82"/>
      <c r="B19" s="107" t="s">
        <v>358</v>
      </c>
      <c r="C19" s="18" t="s">
        <v>653</v>
      </c>
      <c r="D19" s="49" t="s">
        <v>654</v>
      </c>
      <c r="E19" s="20">
        <f>U19</f>
        <v>12</v>
      </c>
      <c r="F19" s="49" t="s">
        <v>45</v>
      </c>
      <c r="G19" s="49" t="s">
        <v>256</v>
      </c>
      <c r="H19" s="19" t="s">
        <v>624</v>
      </c>
      <c r="I19" s="21">
        <v>1</v>
      </c>
      <c r="J19" s="21">
        <v>1</v>
      </c>
      <c r="K19" s="21">
        <v>1</v>
      </c>
      <c r="L19" s="21">
        <v>1</v>
      </c>
      <c r="M19" s="21">
        <v>1</v>
      </c>
      <c r="N19" s="21">
        <v>1</v>
      </c>
      <c r="O19" s="108">
        <v>1</v>
      </c>
      <c r="P19" s="108">
        <v>1</v>
      </c>
      <c r="Q19" s="108">
        <v>1</v>
      </c>
      <c r="R19" s="108">
        <v>1</v>
      </c>
      <c r="S19" s="108">
        <v>1</v>
      </c>
      <c r="T19" s="108">
        <v>1</v>
      </c>
      <c r="U19" s="15">
        <f>SUM(I19:T19)</f>
        <v>12</v>
      </c>
    </row>
    <row r="20" spans="1:21" ht="48" x14ac:dyDescent="0.2">
      <c r="B20" s="107" t="s">
        <v>357</v>
      </c>
      <c r="C20" s="18" t="s">
        <v>651</v>
      </c>
      <c r="D20" s="49" t="s">
        <v>652</v>
      </c>
      <c r="E20" s="20">
        <f t="shared" si="1"/>
        <v>6</v>
      </c>
      <c r="F20" s="49" t="s">
        <v>45</v>
      </c>
      <c r="G20" s="49" t="s">
        <v>256</v>
      </c>
      <c r="H20" s="19" t="s">
        <v>625</v>
      </c>
      <c r="I20" s="21">
        <v>1</v>
      </c>
      <c r="J20" s="21">
        <v>1</v>
      </c>
      <c r="K20" s="21">
        <v>1</v>
      </c>
      <c r="L20" s="21">
        <v>1</v>
      </c>
      <c r="M20" s="21">
        <v>1</v>
      </c>
      <c r="N20" s="21">
        <v>1</v>
      </c>
      <c r="O20" s="108"/>
      <c r="P20" s="108"/>
      <c r="Q20" s="108"/>
      <c r="R20" s="108"/>
      <c r="S20" s="108"/>
      <c r="T20" s="108"/>
      <c r="U20" s="15">
        <f t="shared" si="0"/>
        <v>6</v>
      </c>
    </row>
    <row r="21" spans="1:21" ht="36" x14ac:dyDescent="0.2">
      <c r="B21" s="107" t="s">
        <v>620</v>
      </c>
      <c r="C21" s="18" t="s">
        <v>621</v>
      </c>
      <c r="D21" s="49" t="s">
        <v>622</v>
      </c>
      <c r="E21" s="20">
        <f t="shared" si="1"/>
        <v>5</v>
      </c>
      <c r="F21" s="49" t="s">
        <v>45</v>
      </c>
      <c r="G21" s="49" t="s">
        <v>256</v>
      </c>
      <c r="H21" s="19" t="s">
        <v>623</v>
      </c>
      <c r="I21" s="22"/>
      <c r="J21" s="22"/>
      <c r="K21" s="108"/>
      <c r="L21" s="108"/>
      <c r="M21" s="108"/>
      <c r="N21" s="108"/>
      <c r="O21" s="22"/>
      <c r="P21" s="22">
        <v>1</v>
      </c>
      <c r="Q21" s="21">
        <v>1</v>
      </c>
      <c r="R21" s="22">
        <v>1</v>
      </c>
      <c r="S21" s="22">
        <v>1</v>
      </c>
      <c r="T21" s="22">
        <v>1</v>
      </c>
      <c r="U21" s="15">
        <f t="shared" si="0"/>
        <v>5</v>
      </c>
    </row>
    <row r="22" spans="1:21" ht="21.95" customHeight="1" x14ac:dyDescent="0.2">
      <c r="B22" s="7" t="s">
        <v>349</v>
      </c>
      <c r="C22" s="7" t="s">
        <v>304</v>
      </c>
      <c r="D22" s="8"/>
      <c r="E22" s="8"/>
      <c r="F22" s="8"/>
      <c r="G22" s="8"/>
      <c r="H22" s="6"/>
      <c r="I22" s="8"/>
      <c r="J22" s="8"/>
      <c r="K22" s="8"/>
      <c r="L22" s="8"/>
      <c r="M22" s="8"/>
      <c r="N22" s="8"/>
      <c r="O22" s="8"/>
      <c r="P22" s="8"/>
      <c r="Q22" s="8"/>
      <c r="R22" s="8"/>
      <c r="S22" s="8"/>
      <c r="T22" s="8"/>
      <c r="U22" s="8"/>
    </row>
    <row r="23" spans="1:21" ht="24" x14ac:dyDescent="0.2">
      <c r="B23" s="107" t="s">
        <v>359</v>
      </c>
      <c r="C23" s="16" t="s">
        <v>309</v>
      </c>
      <c r="D23" s="48" t="s">
        <v>305</v>
      </c>
      <c r="E23" s="11">
        <f>U23</f>
        <v>1</v>
      </c>
      <c r="F23" s="48" t="s">
        <v>70</v>
      </c>
      <c r="G23" s="1" t="s">
        <v>55</v>
      </c>
      <c r="H23" s="10" t="s">
        <v>306</v>
      </c>
      <c r="M23" s="13">
        <v>1</v>
      </c>
      <c r="S23" s="77"/>
      <c r="U23" s="15">
        <f>SUM(I23:T23)</f>
        <v>1</v>
      </c>
    </row>
    <row r="24" spans="1:21" ht="21.95" customHeight="1" x14ac:dyDescent="0.2">
      <c r="B24" s="7" t="s">
        <v>350</v>
      </c>
      <c r="C24" s="7" t="s">
        <v>307</v>
      </c>
      <c r="D24" s="8"/>
      <c r="E24" s="8"/>
      <c r="F24" s="8"/>
      <c r="G24" s="8"/>
      <c r="H24" s="6"/>
      <c r="I24" s="8"/>
      <c r="J24" s="8"/>
      <c r="K24" s="8"/>
      <c r="L24" s="8"/>
      <c r="M24" s="8"/>
      <c r="N24" s="8"/>
      <c r="O24" s="8"/>
      <c r="P24" s="8"/>
      <c r="Q24" s="8"/>
      <c r="R24" s="8"/>
      <c r="S24" s="8"/>
      <c r="T24" s="8"/>
      <c r="U24" s="8"/>
    </row>
    <row r="25" spans="1:21" ht="32.25" customHeight="1" x14ac:dyDescent="0.2">
      <c r="B25" s="107" t="s">
        <v>360</v>
      </c>
      <c r="C25" s="16" t="s">
        <v>670</v>
      </c>
      <c r="D25" s="48" t="s">
        <v>285</v>
      </c>
      <c r="E25" s="11">
        <f>U25</f>
        <v>5</v>
      </c>
      <c r="F25" s="48" t="s">
        <v>55</v>
      </c>
      <c r="G25" s="1" t="s">
        <v>398</v>
      </c>
      <c r="H25" s="10" t="s">
        <v>308</v>
      </c>
      <c r="N25" s="14">
        <v>2</v>
      </c>
      <c r="T25" s="14">
        <v>3</v>
      </c>
      <c r="U25" s="15">
        <f>SUM(I25:T25)</f>
        <v>5</v>
      </c>
    </row>
    <row r="26" spans="1:21" ht="21.95" customHeight="1" x14ac:dyDescent="0.2">
      <c r="B26" s="23" t="s">
        <v>17</v>
      </c>
      <c r="C26" s="24" t="s">
        <v>337</v>
      </c>
      <c r="D26" s="26"/>
      <c r="E26" s="26"/>
      <c r="F26" s="26"/>
      <c r="G26" s="26"/>
      <c r="H26" s="25"/>
      <c r="I26" s="26"/>
      <c r="J26" s="26"/>
      <c r="K26" s="26"/>
      <c r="L26" s="26"/>
      <c r="M26" s="26"/>
      <c r="N26" s="26"/>
      <c r="O26" s="26"/>
      <c r="P26" s="26"/>
      <c r="Q26" s="26"/>
      <c r="R26" s="26"/>
      <c r="S26" s="26"/>
      <c r="T26" s="26"/>
      <c r="U26" s="26"/>
    </row>
    <row r="27" spans="1:21" ht="21.95" customHeight="1" x14ac:dyDescent="0.2">
      <c r="B27" s="27" t="s">
        <v>18</v>
      </c>
      <c r="C27" s="28"/>
      <c r="D27" s="30"/>
      <c r="E27" s="30"/>
      <c r="F27" s="30"/>
      <c r="G27" s="30"/>
      <c r="H27" s="29"/>
      <c r="I27" s="30"/>
      <c r="J27" s="30"/>
      <c r="K27" s="30"/>
      <c r="L27" s="30"/>
      <c r="M27" s="30"/>
      <c r="N27" s="30"/>
      <c r="O27" s="30"/>
      <c r="P27" s="30"/>
      <c r="Q27" s="30"/>
      <c r="R27" s="30"/>
      <c r="S27" s="30"/>
      <c r="T27" s="30"/>
      <c r="U27" s="30"/>
    </row>
    <row r="28" spans="1:21" ht="21.95" customHeight="1" x14ac:dyDescent="0.2">
      <c r="B28" s="31" t="s">
        <v>19</v>
      </c>
      <c r="C28" s="32" t="s">
        <v>20</v>
      </c>
      <c r="D28" s="34"/>
      <c r="E28" s="34"/>
      <c r="F28" s="34"/>
      <c r="G28" s="34"/>
      <c r="H28" s="33"/>
      <c r="I28" s="34"/>
      <c r="J28" s="34"/>
      <c r="K28" s="34"/>
      <c r="L28" s="34"/>
      <c r="M28" s="34"/>
      <c r="N28" s="34"/>
      <c r="O28" s="34"/>
      <c r="P28" s="34"/>
      <c r="Q28" s="34"/>
      <c r="R28" s="34"/>
      <c r="S28" s="34"/>
      <c r="T28" s="34"/>
      <c r="U28" s="34"/>
    </row>
    <row r="29" spans="1:21" ht="24" x14ac:dyDescent="0.2">
      <c r="B29" s="35" t="s">
        <v>87</v>
      </c>
      <c r="C29" s="16" t="s">
        <v>704</v>
      </c>
      <c r="D29" s="48" t="s">
        <v>86</v>
      </c>
      <c r="E29" s="11">
        <f t="shared" ref="E29:E44" si="2">U29</f>
        <v>2</v>
      </c>
      <c r="F29" s="48" t="s">
        <v>79</v>
      </c>
      <c r="G29" s="48" t="s">
        <v>88</v>
      </c>
      <c r="H29" s="10" t="s">
        <v>626</v>
      </c>
      <c r="I29" s="36"/>
      <c r="J29" s="37">
        <v>1</v>
      </c>
      <c r="K29" s="38"/>
      <c r="L29" s="38">
        <v>1</v>
      </c>
      <c r="M29" s="76"/>
      <c r="N29" s="38"/>
      <c r="O29" s="38"/>
      <c r="P29" s="38"/>
      <c r="Q29" s="38"/>
      <c r="R29" s="38"/>
      <c r="S29" s="38"/>
      <c r="T29" s="38"/>
      <c r="U29" s="15">
        <f t="shared" ref="U29:U44" si="3">SUM(I29:T29)</f>
        <v>2</v>
      </c>
    </row>
    <row r="30" spans="1:21" ht="36" x14ac:dyDescent="0.2">
      <c r="B30" s="35" t="s">
        <v>80</v>
      </c>
      <c r="C30" s="16" t="s">
        <v>676</v>
      </c>
      <c r="D30" s="48" t="s">
        <v>22</v>
      </c>
      <c r="E30" s="11">
        <f t="shared" si="2"/>
        <v>30</v>
      </c>
      <c r="F30" s="48" t="s">
        <v>23</v>
      </c>
      <c r="G30" s="48" t="s">
        <v>32</v>
      </c>
      <c r="H30" s="10" t="s">
        <v>33</v>
      </c>
      <c r="I30" s="37">
        <v>5</v>
      </c>
      <c r="J30" s="37">
        <v>4</v>
      </c>
      <c r="K30" s="37">
        <v>2</v>
      </c>
      <c r="L30" s="37">
        <v>4</v>
      </c>
      <c r="M30" s="37">
        <v>4</v>
      </c>
      <c r="N30" s="38"/>
      <c r="O30" s="37">
        <v>1</v>
      </c>
      <c r="P30" s="37">
        <v>2</v>
      </c>
      <c r="Q30" s="37">
        <v>3</v>
      </c>
      <c r="R30" s="37">
        <v>4</v>
      </c>
      <c r="S30" s="37">
        <v>1</v>
      </c>
      <c r="T30" s="76"/>
      <c r="U30" s="15">
        <f t="shared" si="3"/>
        <v>30</v>
      </c>
    </row>
    <row r="31" spans="1:21" ht="36" x14ac:dyDescent="0.2">
      <c r="B31" s="35" t="s">
        <v>21</v>
      </c>
      <c r="C31" s="16" t="s">
        <v>115</v>
      </c>
      <c r="D31" s="48" t="s">
        <v>22</v>
      </c>
      <c r="E31" s="11">
        <f t="shared" si="2"/>
        <v>16</v>
      </c>
      <c r="F31" s="48" t="s">
        <v>26</v>
      </c>
      <c r="G31" s="48" t="s">
        <v>24</v>
      </c>
      <c r="H31" s="10" t="s">
        <v>36</v>
      </c>
      <c r="I31" s="36">
        <v>1</v>
      </c>
      <c r="J31" s="37">
        <v>1</v>
      </c>
      <c r="K31" s="37">
        <v>3</v>
      </c>
      <c r="L31" s="37">
        <v>1</v>
      </c>
      <c r="M31" s="37">
        <v>1</v>
      </c>
      <c r="N31" s="37">
        <v>2</v>
      </c>
      <c r="O31" s="37">
        <v>2</v>
      </c>
      <c r="P31" s="76"/>
      <c r="Q31" s="76"/>
      <c r="R31" s="37">
        <v>3</v>
      </c>
      <c r="S31" s="37">
        <v>2</v>
      </c>
      <c r="T31" s="76"/>
      <c r="U31" s="15">
        <f t="shared" si="3"/>
        <v>16</v>
      </c>
    </row>
    <row r="32" spans="1:21" ht="36" x14ac:dyDescent="0.2">
      <c r="B32" s="35" t="s">
        <v>25</v>
      </c>
      <c r="C32" s="16" t="s">
        <v>37</v>
      </c>
      <c r="D32" s="48" t="s">
        <v>22</v>
      </c>
      <c r="E32" s="11">
        <f t="shared" si="2"/>
        <v>23</v>
      </c>
      <c r="F32" s="48" t="s">
        <v>23</v>
      </c>
      <c r="G32" s="48" t="s">
        <v>24</v>
      </c>
      <c r="H32" s="10" t="s">
        <v>38</v>
      </c>
      <c r="I32" s="37">
        <v>2</v>
      </c>
      <c r="J32" s="37">
        <v>4</v>
      </c>
      <c r="K32" s="37">
        <v>2</v>
      </c>
      <c r="L32" s="76"/>
      <c r="M32" s="37">
        <v>1</v>
      </c>
      <c r="N32" s="37">
        <v>4</v>
      </c>
      <c r="O32" s="37">
        <v>3</v>
      </c>
      <c r="P32" s="76"/>
      <c r="Q32" s="37">
        <v>2</v>
      </c>
      <c r="R32" s="76"/>
      <c r="S32" s="37">
        <v>3</v>
      </c>
      <c r="T32" s="37">
        <v>2</v>
      </c>
      <c r="U32" s="15">
        <f t="shared" si="3"/>
        <v>23</v>
      </c>
    </row>
    <row r="33" spans="1:21" ht="36" x14ac:dyDescent="0.2">
      <c r="B33" s="35" t="s">
        <v>27</v>
      </c>
      <c r="C33" s="10" t="s">
        <v>81</v>
      </c>
      <c r="D33" s="48" t="s">
        <v>22</v>
      </c>
      <c r="E33" s="11">
        <f t="shared" si="2"/>
        <v>22</v>
      </c>
      <c r="F33" s="48" t="s">
        <v>23</v>
      </c>
      <c r="G33" s="48" t="s">
        <v>24</v>
      </c>
      <c r="H33" s="10" t="s">
        <v>85</v>
      </c>
      <c r="I33" s="37">
        <v>1</v>
      </c>
      <c r="J33" s="37">
        <v>2</v>
      </c>
      <c r="K33" s="37">
        <v>4</v>
      </c>
      <c r="L33" s="76"/>
      <c r="M33" s="37">
        <v>1</v>
      </c>
      <c r="N33" s="37">
        <v>3</v>
      </c>
      <c r="O33" s="37">
        <v>3</v>
      </c>
      <c r="P33" s="76"/>
      <c r="Q33" s="37">
        <v>2</v>
      </c>
      <c r="R33" s="37">
        <v>2</v>
      </c>
      <c r="S33" s="37">
        <v>3</v>
      </c>
      <c r="T33" s="37">
        <v>1</v>
      </c>
      <c r="U33" s="15">
        <f t="shared" si="3"/>
        <v>22</v>
      </c>
    </row>
    <row r="34" spans="1:21" ht="36" x14ac:dyDescent="0.2">
      <c r="B34" s="35" t="s">
        <v>28</v>
      </c>
      <c r="C34" s="16" t="s">
        <v>39</v>
      </c>
      <c r="D34" s="48" t="s">
        <v>22</v>
      </c>
      <c r="E34" s="11">
        <f t="shared" si="2"/>
        <v>26</v>
      </c>
      <c r="F34" s="48" t="s">
        <v>23</v>
      </c>
      <c r="G34" s="48" t="s">
        <v>24</v>
      </c>
      <c r="H34" s="10" t="s">
        <v>36</v>
      </c>
      <c r="I34" s="37">
        <v>1</v>
      </c>
      <c r="J34" s="37">
        <v>11</v>
      </c>
      <c r="K34" s="37">
        <v>1</v>
      </c>
      <c r="L34" s="38"/>
      <c r="M34" s="38"/>
      <c r="N34" s="38"/>
      <c r="O34" s="38">
        <v>1</v>
      </c>
      <c r="P34" s="38">
        <v>2</v>
      </c>
      <c r="Q34" s="38"/>
      <c r="R34" s="38"/>
      <c r="S34" s="37">
        <v>9</v>
      </c>
      <c r="T34" s="37">
        <v>1</v>
      </c>
      <c r="U34" s="15">
        <f t="shared" si="3"/>
        <v>26</v>
      </c>
    </row>
    <row r="35" spans="1:21" ht="36" x14ac:dyDescent="0.2">
      <c r="B35" s="35" t="s">
        <v>29</v>
      </c>
      <c r="C35" s="16" t="s">
        <v>40</v>
      </c>
      <c r="D35" s="48" t="s">
        <v>22</v>
      </c>
      <c r="E35" s="11">
        <f t="shared" si="2"/>
        <v>27</v>
      </c>
      <c r="F35" s="48" t="s">
        <v>23</v>
      </c>
      <c r="G35" s="48" t="s">
        <v>24</v>
      </c>
      <c r="H35" s="10" t="s">
        <v>41</v>
      </c>
      <c r="I35" s="37">
        <v>1</v>
      </c>
      <c r="J35" s="37">
        <v>1</v>
      </c>
      <c r="K35" s="37">
        <v>5</v>
      </c>
      <c r="L35" s="37">
        <v>7</v>
      </c>
      <c r="M35" s="37">
        <v>3</v>
      </c>
      <c r="N35" s="37">
        <v>3</v>
      </c>
      <c r="O35" s="37">
        <v>1</v>
      </c>
      <c r="P35" s="76"/>
      <c r="Q35" s="37">
        <v>4</v>
      </c>
      <c r="R35" s="38">
        <v>2</v>
      </c>
      <c r="S35" s="38"/>
      <c r="T35" s="38"/>
      <c r="U35" s="15">
        <f t="shared" si="3"/>
        <v>27</v>
      </c>
    </row>
    <row r="36" spans="1:21" ht="24" x14ac:dyDescent="0.2">
      <c r="B36" s="35" t="s">
        <v>82</v>
      </c>
      <c r="C36" s="16" t="s">
        <v>34</v>
      </c>
      <c r="D36" s="48" t="s">
        <v>22</v>
      </c>
      <c r="E36" s="11">
        <f t="shared" si="2"/>
        <v>24</v>
      </c>
      <c r="F36" s="48" t="s">
        <v>23</v>
      </c>
      <c r="G36" s="48" t="s">
        <v>24</v>
      </c>
      <c r="H36" s="10" t="s">
        <v>35</v>
      </c>
      <c r="I36" s="38"/>
      <c r="J36" s="76"/>
      <c r="K36" s="37">
        <v>4</v>
      </c>
      <c r="L36" s="37">
        <v>1</v>
      </c>
      <c r="M36" s="37">
        <v>3</v>
      </c>
      <c r="N36" s="38">
        <v>1</v>
      </c>
      <c r="O36" s="37">
        <v>2</v>
      </c>
      <c r="P36" s="37">
        <v>4</v>
      </c>
      <c r="Q36" s="76"/>
      <c r="R36" s="37">
        <v>5</v>
      </c>
      <c r="S36" s="37">
        <v>3</v>
      </c>
      <c r="T36" s="37">
        <v>1</v>
      </c>
      <c r="U36" s="15">
        <f t="shared" si="3"/>
        <v>24</v>
      </c>
    </row>
    <row r="37" spans="1:21" ht="36" x14ac:dyDescent="0.2">
      <c r="B37" s="35" t="s">
        <v>30</v>
      </c>
      <c r="C37" s="16" t="s">
        <v>42</v>
      </c>
      <c r="D37" s="48" t="s">
        <v>22</v>
      </c>
      <c r="E37" s="11">
        <f t="shared" si="2"/>
        <v>20</v>
      </c>
      <c r="F37" s="48" t="s">
        <v>23</v>
      </c>
      <c r="G37" s="48" t="s">
        <v>24</v>
      </c>
      <c r="H37" s="10" t="s">
        <v>43</v>
      </c>
      <c r="I37" s="38"/>
      <c r="J37" s="37">
        <v>4</v>
      </c>
      <c r="K37" s="37">
        <v>3</v>
      </c>
      <c r="L37" s="37">
        <v>4</v>
      </c>
      <c r="M37" s="37">
        <v>2</v>
      </c>
      <c r="N37" s="76"/>
      <c r="O37" s="37">
        <v>1</v>
      </c>
      <c r="P37" s="37">
        <v>4</v>
      </c>
      <c r="Q37" s="37">
        <v>1</v>
      </c>
      <c r="R37" s="38">
        <v>1</v>
      </c>
      <c r="S37" s="38"/>
      <c r="T37" s="76"/>
      <c r="U37" s="15">
        <f t="shared" si="3"/>
        <v>20</v>
      </c>
    </row>
    <row r="38" spans="1:21" ht="36" x14ac:dyDescent="0.2">
      <c r="B38" s="35" t="s">
        <v>31</v>
      </c>
      <c r="C38" s="10" t="s">
        <v>83</v>
      </c>
      <c r="D38" s="48" t="s">
        <v>22</v>
      </c>
      <c r="E38" s="11">
        <f t="shared" si="2"/>
        <v>29</v>
      </c>
      <c r="F38" s="48" t="s">
        <v>23</v>
      </c>
      <c r="G38" s="48" t="s">
        <v>24</v>
      </c>
      <c r="H38" s="10" t="s">
        <v>627</v>
      </c>
      <c r="I38" s="37">
        <v>3</v>
      </c>
      <c r="J38" s="37">
        <v>11</v>
      </c>
      <c r="K38" s="37">
        <v>2</v>
      </c>
      <c r="L38" s="37">
        <v>2</v>
      </c>
      <c r="M38" s="38">
        <v>1</v>
      </c>
      <c r="N38" s="37">
        <v>2</v>
      </c>
      <c r="O38" s="37">
        <v>3</v>
      </c>
      <c r="P38" s="37">
        <v>1</v>
      </c>
      <c r="Q38" s="37">
        <v>2</v>
      </c>
      <c r="R38" s="38"/>
      <c r="S38" s="37">
        <v>2</v>
      </c>
      <c r="T38" s="38"/>
      <c r="U38" s="15">
        <f t="shared" si="3"/>
        <v>29</v>
      </c>
    </row>
    <row r="39" spans="1:21" ht="17.25" customHeight="1" x14ac:dyDescent="0.2">
      <c r="A39" s="35"/>
      <c r="B39" s="98" t="s">
        <v>690</v>
      </c>
      <c r="C39" s="16" t="s">
        <v>673</v>
      </c>
      <c r="D39" s="48" t="s">
        <v>22</v>
      </c>
      <c r="E39" s="11">
        <f>U39</f>
        <v>3</v>
      </c>
      <c r="F39" s="48" t="s">
        <v>23</v>
      </c>
      <c r="G39" s="48" t="s">
        <v>24</v>
      </c>
      <c r="H39" s="10" t="s">
        <v>674</v>
      </c>
      <c r="I39" s="38"/>
      <c r="J39" s="38"/>
      <c r="K39" s="76"/>
      <c r="L39" s="38">
        <v>3</v>
      </c>
      <c r="M39" s="38"/>
      <c r="N39" s="38"/>
      <c r="O39" s="38"/>
      <c r="P39" s="37"/>
      <c r="Q39" s="38"/>
      <c r="R39" s="38"/>
      <c r="S39" s="38"/>
      <c r="T39" s="38"/>
      <c r="U39" s="15">
        <f>SUM(I39:T39)</f>
        <v>3</v>
      </c>
    </row>
    <row r="40" spans="1:21" ht="24" x14ac:dyDescent="0.2">
      <c r="A40" s="35"/>
      <c r="B40" s="98" t="s">
        <v>691</v>
      </c>
      <c r="C40" s="16" t="s">
        <v>675</v>
      </c>
      <c r="D40" s="48" t="s">
        <v>22</v>
      </c>
      <c r="E40" s="11">
        <f>U40</f>
        <v>6</v>
      </c>
      <c r="F40" s="48" t="s">
        <v>23</v>
      </c>
      <c r="G40" s="48" t="s">
        <v>32</v>
      </c>
      <c r="H40" s="10" t="s">
        <v>33</v>
      </c>
      <c r="I40" s="38"/>
      <c r="J40" s="38"/>
      <c r="K40" s="76"/>
      <c r="L40" s="38"/>
      <c r="M40" s="38">
        <v>3</v>
      </c>
      <c r="N40" s="38"/>
      <c r="O40" s="38"/>
      <c r="P40" s="76"/>
      <c r="Q40" s="38">
        <v>3</v>
      </c>
      <c r="R40" s="38"/>
      <c r="S40" s="38"/>
      <c r="T40" s="38"/>
      <c r="U40" s="15">
        <f>SUM(I40:T40)</f>
        <v>6</v>
      </c>
    </row>
    <row r="41" spans="1:21" ht="30" customHeight="1" x14ac:dyDescent="0.2">
      <c r="A41" s="35"/>
      <c r="B41" s="98" t="s">
        <v>692</v>
      </c>
      <c r="C41" s="16" t="s">
        <v>677</v>
      </c>
      <c r="D41" s="48" t="s">
        <v>22</v>
      </c>
      <c r="E41" s="11">
        <f>U41</f>
        <v>9</v>
      </c>
      <c r="F41" s="48" t="s">
        <v>26</v>
      </c>
      <c r="G41" s="48" t="s">
        <v>24</v>
      </c>
      <c r="H41" s="10" t="s">
        <v>36</v>
      </c>
      <c r="I41" s="38"/>
      <c r="J41" s="38"/>
      <c r="K41" s="76"/>
      <c r="L41" s="38"/>
      <c r="M41" s="38">
        <v>3</v>
      </c>
      <c r="N41" s="38"/>
      <c r="O41" s="38">
        <v>3</v>
      </c>
      <c r="P41" s="76"/>
      <c r="Q41" s="38"/>
      <c r="R41" s="38">
        <v>3</v>
      </c>
      <c r="S41" s="38"/>
      <c r="T41" s="38"/>
      <c r="U41" s="15">
        <f>SUM(I41:T41)</f>
        <v>9</v>
      </c>
    </row>
    <row r="42" spans="1:21" ht="25.5" customHeight="1" x14ac:dyDescent="0.2">
      <c r="A42" s="35"/>
      <c r="B42" s="98" t="s">
        <v>705</v>
      </c>
      <c r="C42" s="16" t="s">
        <v>678</v>
      </c>
      <c r="D42" s="48" t="s">
        <v>22</v>
      </c>
      <c r="E42" s="11">
        <f>U42</f>
        <v>6</v>
      </c>
      <c r="F42" s="48" t="s">
        <v>23</v>
      </c>
      <c r="G42" s="48" t="s">
        <v>24</v>
      </c>
      <c r="H42" s="10" t="s">
        <v>35</v>
      </c>
      <c r="I42" s="38"/>
      <c r="J42" s="38"/>
      <c r="K42" s="76"/>
      <c r="L42" s="38"/>
      <c r="M42" s="38"/>
      <c r="N42" s="38">
        <v>3</v>
      </c>
      <c r="O42" s="38"/>
      <c r="P42" s="76"/>
      <c r="Q42" s="38">
        <v>3</v>
      </c>
      <c r="R42" s="38"/>
      <c r="S42" s="38"/>
      <c r="T42" s="38"/>
      <c r="U42" s="15">
        <f>SUM(I42:T42)</f>
        <v>6</v>
      </c>
    </row>
    <row r="43" spans="1:21" ht="25.5" customHeight="1" x14ac:dyDescent="0.2">
      <c r="A43" s="35"/>
      <c r="B43" s="98" t="s">
        <v>708</v>
      </c>
      <c r="C43" s="16" t="s">
        <v>706</v>
      </c>
      <c r="D43" s="48" t="s">
        <v>22</v>
      </c>
      <c r="E43" s="11">
        <f>U43</f>
        <v>10</v>
      </c>
      <c r="F43" s="48" t="s">
        <v>23</v>
      </c>
      <c r="G43" s="48" t="s">
        <v>24</v>
      </c>
      <c r="H43" s="10" t="s">
        <v>707</v>
      </c>
      <c r="I43" s="38"/>
      <c r="J43" s="38"/>
      <c r="K43" s="76"/>
      <c r="L43" s="38"/>
      <c r="M43" s="38"/>
      <c r="N43" s="38"/>
      <c r="O43" s="38"/>
      <c r="P43" s="76"/>
      <c r="Q43" s="38"/>
      <c r="R43" s="38"/>
      <c r="S43" s="38">
        <v>10</v>
      </c>
      <c r="T43" s="38"/>
      <c r="U43" s="15">
        <f>SUM(I43:T43)</f>
        <v>10</v>
      </c>
    </row>
    <row r="44" spans="1:21" ht="36" x14ac:dyDescent="0.2">
      <c r="B44" s="35" t="s">
        <v>44</v>
      </c>
      <c r="C44" s="16" t="s">
        <v>46</v>
      </c>
      <c r="D44" s="48" t="s">
        <v>47</v>
      </c>
      <c r="E44" s="11">
        <f t="shared" si="2"/>
        <v>20</v>
      </c>
      <c r="F44" s="48" t="s">
        <v>45</v>
      </c>
      <c r="G44" s="48" t="s">
        <v>24</v>
      </c>
      <c r="H44" s="10" t="s">
        <v>48</v>
      </c>
      <c r="I44" s="38"/>
      <c r="J44" s="37">
        <v>3</v>
      </c>
      <c r="K44" s="37">
        <v>3</v>
      </c>
      <c r="L44" s="37">
        <v>3</v>
      </c>
      <c r="M44" s="76"/>
      <c r="N44" s="37">
        <v>3</v>
      </c>
      <c r="O44" s="37">
        <v>1</v>
      </c>
      <c r="P44" s="38">
        <v>1</v>
      </c>
      <c r="Q44" s="37">
        <v>2</v>
      </c>
      <c r="R44" s="37">
        <v>1</v>
      </c>
      <c r="S44" s="37">
        <v>2</v>
      </c>
      <c r="T44" s="37">
        <v>1</v>
      </c>
      <c r="U44" s="15">
        <f t="shared" si="3"/>
        <v>20</v>
      </c>
    </row>
    <row r="45" spans="1:21" ht="21.95" customHeight="1" x14ac:dyDescent="0.2">
      <c r="B45" s="31" t="s">
        <v>51</v>
      </c>
      <c r="C45" s="32" t="s">
        <v>52</v>
      </c>
      <c r="D45" s="34"/>
      <c r="E45" s="34"/>
      <c r="F45" s="34"/>
      <c r="G45" s="34"/>
      <c r="H45" s="33"/>
      <c r="I45" s="34"/>
      <c r="J45" s="34"/>
      <c r="K45" s="34"/>
      <c r="L45" s="34"/>
      <c r="M45" s="34"/>
      <c r="N45" s="34"/>
      <c r="O45" s="34"/>
      <c r="P45" s="34"/>
      <c r="Q45" s="34"/>
      <c r="R45" s="34"/>
      <c r="S45" s="34"/>
      <c r="T45" s="34"/>
      <c r="U45" s="34"/>
    </row>
    <row r="46" spans="1:21" ht="25.5" customHeight="1" x14ac:dyDescent="0.2">
      <c r="B46" s="35" t="s">
        <v>103</v>
      </c>
      <c r="C46" s="16" t="s">
        <v>105</v>
      </c>
      <c r="D46" s="48" t="s">
        <v>95</v>
      </c>
      <c r="E46" s="11">
        <f t="shared" ref="E46:E52" si="4">U46</f>
        <v>1</v>
      </c>
      <c r="F46" s="48" t="s">
        <v>66</v>
      </c>
      <c r="G46" s="48" t="s">
        <v>55</v>
      </c>
      <c r="H46" s="10" t="s">
        <v>106</v>
      </c>
      <c r="I46" s="38"/>
      <c r="J46" s="38"/>
      <c r="K46" s="38"/>
      <c r="L46" s="38"/>
      <c r="M46" s="38"/>
      <c r="N46" s="38"/>
      <c r="O46" s="38">
        <v>1</v>
      </c>
      <c r="P46" s="76"/>
      <c r="Q46" s="38"/>
      <c r="R46" s="38"/>
      <c r="S46" s="38"/>
      <c r="T46" s="38"/>
      <c r="U46" s="15">
        <f t="shared" ref="U46:U53" si="5">SUM(I46:T46)</f>
        <v>1</v>
      </c>
    </row>
    <row r="47" spans="1:21" ht="21.75" customHeight="1" x14ac:dyDescent="0.2">
      <c r="A47" s="119"/>
      <c r="B47" s="41" t="s">
        <v>685</v>
      </c>
      <c r="C47" s="16" t="s">
        <v>683</v>
      </c>
      <c r="D47" s="48" t="s">
        <v>95</v>
      </c>
      <c r="E47" s="11">
        <f>U47</f>
        <v>1</v>
      </c>
      <c r="F47" s="48" t="s">
        <v>66</v>
      </c>
      <c r="G47" s="48" t="s">
        <v>55</v>
      </c>
      <c r="H47" s="10" t="s">
        <v>684</v>
      </c>
      <c r="I47" s="38"/>
      <c r="J47" s="38">
        <v>1</v>
      </c>
      <c r="K47" s="38"/>
      <c r="L47" s="38"/>
      <c r="M47" s="38"/>
      <c r="N47" s="38"/>
      <c r="O47" s="38"/>
      <c r="P47" s="76"/>
      <c r="Q47" s="38"/>
      <c r="R47" s="38"/>
      <c r="S47" s="38"/>
      <c r="T47" s="38"/>
      <c r="U47" s="15">
        <f>SUM(I47:T47)</f>
        <v>1</v>
      </c>
    </row>
    <row r="48" spans="1:21" ht="24" x14ac:dyDescent="0.2">
      <c r="B48" s="35" t="s">
        <v>53</v>
      </c>
      <c r="C48" s="16" t="s">
        <v>58</v>
      </c>
      <c r="D48" s="48" t="s">
        <v>59</v>
      </c>
      <c r="E48" s="11">
        <f t="shared" si="4"/>
        <v>10</v>
      </c>
      <c r="F48" s="48" t="s">
        <v>54</v>
      </c>
      <c r="G48" s="48" t="s">
        <v>60</v>
      </c>
      <c r="H48" s="10" t="s">
        <v>61</v>
      </c>
      <c r="I48" s="36">
        <v>1</v>
      </c>
      <c r="J48" s="38">
        <v>3</v>
      </c>
      <c r="K48" s="37">
        <v>3</v>
      </c>
      <c r="L48" s="76"/>
      <c r="M48" s="38"/>
      <c r="N48" s="38"/>
      <c r="O48" s="37">
        <v>2</v>
      </c>
      <c r="P48" s="38">
        <v>1</v>
      </c>
      <c r="Q48" s="38"/>
      <c r="R48" s="38"/>
      <c r="S48" s="38"/>
      <c r="T48" s="38"/>
      <c r="U48" s="15">
        <f t="shared" si="5"/>
        <v>10</v>
      </c>
    </row>
    <row r="49" spans="1:21" ht="24" x14ac:dyDescent="0.2">
      <c r="B49" s="35" t="s">
        <v>84</v>
      </c>
      <c r="C49" s="16" t="s">
        <v>62</v>
      </c>
      <c r="D49" s="48" t="s">
        <v>59</v>
      </c>
      <c r="E49" s="11">
        <f t="shared" si="4"/>
        <v>10</v>
      </c>
      <c r="F49" s="48" t="s">
        <v>56</v>
      </c>
      <c r="G49" s="48" t="s">
        <v>60</v>
      </c>
      <c r="H49" s="10" t="s">
        <v>63</v>
      </c>
      <c r="I49" s="38"/>
      <c r="J49" s="76"/>
      <c r="K49" s="37">
        <v>2</v>
      </c>
      <c r="L49" s="76"/>
      <c r="M49" s="37">
        <v>4</v>
      </c>
      <c r="N49" s="37">
        <v>1</v>
      </c>
      <c r="O49" s="38">
        <v>3</v>
      </c>
      <c r="P49" s="76"/>
      <c r="Q49" s="38"/>
      <c r="R49" s="38"/>
      <c r="S49" s="38"/>
      <c r="T49" s="38"/>
      <c r="U49" s="15">
        <f t="shared" si="5"/>
        <v>10</v>
      </c>
    </row>
    <row r="50" spans="1:21" ht="21.95" customHeight="1" x14ac:dyDescent="0.2">
      <c r="B50" s="35" t="s">
        <v>57</v>
      </c>
      <c r="C50" s="16" t="s">
        <v>64</v>
      </c>
      <c r="D50" s="48" t="s">
        <v>59</v>
      </c>
      <c r="E50" s="11">
        <f t="shared" si="4"/>
        <v>5</v>
      </c>
      <c r="F50" s="48" t="s">
        <v>54</v>
      </c>
      <c r="G50" s="48" t="s">
        <v>60</v>
      </c>
      <c r="H50" s="10" t="s">
        <v>65</v>
      </c>
      <c r="I50" s="36"/>
      <c r="J50" s="38"/>
      <c r="K50" s="38">
        <v>1</v>
      </c>
      <c r="L50" s="36">
        <v>1</v>
      </c>
      <c r="M50" s="38"/>
      <c r="N50" s="38"/>
      <c r="O50" s="38"/>
      <c r="P50" s="37">
        <v>1</v>
      </c>
      <c r="Q50" s="38"/>
      <c r="R50" s="37">
        <v>2</v>
      </c>
      <c r="S50" s="38"/>
      <c r="T50" s="38"/>
      <c r="U50" s="15">
        <f t="shared" si="5"/>
        <v>5</v>
      </c>
    </row>
    <row r="51" spans="1:21" ht="48" x14ac:dyDescent="0.2">
      <c r="B51" s="35" t="s">
        <v>104</v>
      </c>
      <c r="C51" s="10" t="s">
        <v>107</v>
      </c>
      <c r="D51" s="48" t="s">
        <v>49</v>
      </c>
      <c r="E51" s="11">
        <f t="shared" si="4"/>
        <v>27</v>
      </c>
      <c r="F51" s="48" t="s">
        <v>50</v>
      </c>
      <c r="G51" s="48" t="s">
        <v>24</v>
      </c>
      <c r="H51" s="10" t="s">
        <v>681</v>
      </c>
      <c r="I51" s="37">
        <v>2</v>
      </c>
      <c r="J51" s="37">
        <v>6</v>
      </c>
      <c r="K51" s="37">
        <v>3</v>
      </c>
      <c r="L51" s="37">
        <v>2</v>
      </c>
      <c r="M51" s="37">
        <v>1</v>
      </c>
      <c r="N51" s="76"/>
      <c r="O51" s="37">
        <v>6</v>
      </c>
      <c r="P51" s="38">
        <v>4</v>
      </c>
      <c r="Q51" s="76">
        <v>1</v>
      </c>
      <c r="R51" s="37">
        <v>1</v>
      </c>
      <c r="S51" s="37">
        <v>1</v>
      </c>
      <c r="T51" s="38"/>
      <c r="U51" s="15">
        <f t="shared" si="5"/>
        <v>27</v>
      </c>
    </row>
    <row r="52" spans="1:21" ht="48" x14ac:dyDescent="0.2">
      <c r="A52" s="119"/>
      <c r="B52" s="98" t="s">
        <v>650</v>
      </c>
      <c r="C52" s="10" t="s">
        <v>679</v>
      </c>
      <c r="D52" s="48" t="s">
        <v>49</v>
      </c>
      <c r="E52" s="11">
        <f t="shared" si="4"/>
        <v>6</v>
      </c>
      <c r="F52" s="48" t="s">
        <v>50</v>
      </c>
      <c r="G52" s="48" t="s">
        <v>24</v>
      </c>
      <c r="H52" s="10" t="s">
        <v>680</v>
      </c>
      <c r="I52" s="76"/>
      <c r="J52" s="37">
        <v>3</v>
      </c>
      <c r="K52" s="76"/>
      <c r="L52" s="76"/>
      <c r="M52" s="76"/>
      <c r="N52" s="76"/>
      <c r="O52" s="37">
        <v>3</v>
      </c>
      <c r="P52" s="38"/>
      <c r="Q52" s="76"/>
      <c r="R52" s="76"/>
      <c r="S52" s="76"/>
      <c r="T52" s="38"/>
      <c r="U52" s="15">
        <f>SUM(I52:T52)</f>
        <v>6</v>
      </c>
    </row>
    <row r="53" spans="1:21" ht="15.75" customHeight="1" x14ac:dyDescent="0.2">
      <c r="A53" s="78"/>
      <c r="B53" s="98" t="s">
        <v>682</v>
      </c>
      <c r="C53" s="10" t="s">
        <v>672</v>
      </c>
      <c r="D53" s="48" t="s">
        <v>49</v>
      </c>
      <c r="E53" s="11">
        <f>U53</f>
        <v>2</v>
      </c>
      <c r="F53" s="48" t="s">
        <v>50</v>
      </c>
      <c r="G53" s="48" t="s">
        <v>24</v>
      </c>
      <c r="H53" s="10" t="s">
        <v>508</v>
      </c>
      <c r="I53" s="76"/>
      <c r="J53" s="76"/>
      <c r="K53" s="76">
        <v>1</v>
      </c>
      <c r="L53" s="76"/>
      <c r="M53" s="76"/>
      <c r="N53" s="76"/>
      <c r="O53" s="76">
        <v>1</v>
      </c>
      <c r="P53" s="76"/>
      <c r="Q53" s="76"/>
      <c r="R53" s="76"/>
      <c r="S53" s="76"/>
      <c r="T53" s="38"/>
      <c r="U53" s="15">
        <f t="shared" si="5"/>
        <v>2</v>
      </c>
    </row>
    <row r="54" spans="1:21" ht="21.95" customHeight="1" x14ac:dyDescent="0.2">
      <c r="B54" s="31" t="s">
        <v>67</v>
      </c>
      <c r="C54" s="33" t="s">
        <v>693</v>
      </c>
      <c r="D54" s="34"/>
      <c r="E54" s="34"/>
      <c r="F54" s="34"/>
      <c r="G54" s="34"/>
      <c r="H54" s="33"/>
      <c r="I54" s="34"/>
      <c r="J54" s="34"/>
      <c r="K54" s="34"/>
      <c r="L54" s="34"/>
      <c r="M54" s="34"/>
      <c r="N54" s="34"/>
      <c r="O54" s="34"/>
      <c r="P54" s="34"/>
      <c r="Q54" s="34"/>
      <c r="R54" s="34"/>
      <c r="S54" s="34"/>
      <c r="T54" s="34"/>
      <c r="U54" s="34"/>
    </row>
    <row r="55" spans="1:21" ht="24.75" customHeight="1" x14ac:dyDescent="0.2">
      <c r="B55" s="35" t="s">
        <v>111</v>
      </c>
      <c r="C55" s="10" t="s">
        <v>101</v>
      </c>
      <c r="D55" s="48" t="s">
        <v>68</v>
      </c>
      <c r="E55" s="11">
        <f t="shared" ref="E55" si="6">U55</f>
        <v>4</v>
      </c>
      <c r="F55" s="48" t="s">
        <v>69</v>
      </c>
      <c r="G55" s="48" t="s">
        <v>55</v>
      </c>
      <c r="H55" s="10" t="s">
        <v>99</v>
      </c>
      <c r="I55" s="38"/>
      <c r="J55" s="76"/>
      <c r="K55" s="38">
        <v>1</v>
      </c>
      <c r="L55" s="38"/>
      <c r="M55" s="37">
        <v>1</v>
      </c>
      <c r="N55" s="38"/>
      <c r="O55" s="38"/>
      <c r="P55" s="38"/>
      <c r="Q55" s="38">
        <v>2</v>
      </c>
      <c r="R55" s="76"/>
      <c r="S55" s="38"/>
      <c r="T55" s="38"/>
      <c r="U55" s="15">
        <f>SUM(I55:T55)</f>
        <v>4</v>
      </c>
    </row>
    <row r="56" spans="1:21" ht="24" x14ac:dyDescent="0.2">
      <c r="A56" s="35"/>
      <c r="B56" s="98" t="s">
        <v>381</v>
      </c>
      <c r="C56" s="16" t="s">
        <v>89</v>
      </c>
      <c r="D56" s="48" t="s">
        <v>22</v>
      </c>
      <c r="E56" s="11">
        <f>U56</f>
        <v>5</v>
      </c>
      <c r="F56" s="48" t="s">
        <v>23</v>
      </c>
      <c r="G56" s="48" t="s">
        <v>24</v>
      </c>
      <c r="H56" s="10" t="s">
        <v>33</v>
      </c>
      <c r="I56" s="38"/>
      <c r="J56" s="38">
        <v>1</v>
      </c>
      <c r="K56" s="76"/>
      <c r="L56" s="38">
        <v>1</v>
      </c>
      <c r="M56" s="38"/>
      <c r="N56" s="38"/>
      <c r="O56" s="38"/>
      <c r="P56" s="37">
        <v>1</v>
      </c>
      <c r="Q56" s="38">
        <v>1</v>
      </c>
      <c r="R56" s="38"/>
      <c r="S56" s="38">
        <v>1</v>
      </c>
      <c r="T56" s="38"/>
      <c r="U56" s="15">
        <f>SUM(I56:T56)</f>
        <v>5</v>
      </c>
    </row>
    <row r="57" spans="1:21" ht="18.75" customHeight="1" x14ac:dyDescent="0.2">
      <c r="A57" s="35"/>
      <c r="B57" s="98" t="s">
        <v>701</v>
      </c>
      <c r="C57" s="16" t="s">
        <v>702</v>
      </c>
      <c r="D57" s="48" t="s">
        <v>68</v>
      </c>
      <c r="E57" s="11">
        <f>U57</f>
        <v>1</v>
      </c>
      <c r="F57" s="48" t="s">
        <v>69</v>
      </c>
      <c r="G57" s="48" t="s">
        <v>55</v>
      </c>
      <c r="H57" s="10" t="s">
        <v>703</v>
      </c>
      <c r="I57" s="38"/>
      <c r="J57" s="38"/>
      <c r="K57" s="76">
        <v>1</v>
      </c>
      <c r="L57" s="38"/>
      <c r="M57" s="38"/>
      <c r="N57" s="38"/>
      <c r="O57" s="38"/>
      <c r="P57" s="76"/>
      <c r="Q57" s="38"/>
      <c r="R57" s="38"/>
      <c r="S57" s="38"/>
      <c r="T57" s="38"/>
      <c r="U57" s="15">
        <f>SUM(I57:T57)</f>
        <v>1</v>
      </c>
    </row>
    <row r="58" spans="1:21" ht="21.95" customHeight="1" x14ac:dyDescent="0.2">
      <c r="B58" s="31" t="s">
        <v>78</v>
      </c>
      <c r="C58" s="33" t="s">
        <v>694</v>
      </c>
      <c r="D58" s="34"/>
      <c r="E58" s="34"/>
      <c r="F58" s="34"/>
      <c r="G58" s="34"/>
      <c r="H58" s="33"/>
      <c r="I58" s="34"/>
      <c r="J58" s="34"/>
      <c r="K58" s="34"/>
      <c r="L58" s="34"/>
      <c r="M58" s="34"/>
      <c r="N58" s="34"/>
      <c r="O58" s="34"/>
      <c r="P58" s="34"/>
      <c r="Q58" s="34"/>
      <c r="R58" s="34"/>
      <c r="S58" s="34"/>
      <c r="T58" s="34"/>
      <c r="U58" s="34"/>
    </row>
    <row r="59" spans="1:21" ht="21.95" customHeight="1" x14ac:dyDescent="0.2">
      <c r="B59" s="35" t="s">
        <v>112</v>
      </c>
      <c r="C59" s="10" t="s">
        <v>102</v>
      </c>
      <c r="D59" s="48" t="s">
        <v>98</v>
      </c>
      <c r="E59" s="11">
        <f>U59</f>
        <v>1</v>
      </c>
      <c r="F59" s="48" t="s">
        <v>69</v>
      </c>
      <c r="G59" s="48" t="s">
        <v>55</v>
      </c>
      <c r="H59" s="10" t="s">
        <v>99</v>
      </c>
      <c r="I59" s="38"/>
      <c r="J59" s="38"/>
      <c r="K59" s="38"/>
      <c r="L59" s="37">
        <v>1</v>
      </c>
      <c r="M59" s="38"/>
      <c r="N59" s="38"/>
      <c r="O59" s="38"/>
      <c r="P59" s="38"/>
      <c r="Q59" s="38"/>
      <c r="R59" s="38"/>
      <c r="S59" s="38"/>
      <c r="T59" s="38"/>
      <c r="U59" s="15">
        <f>SUM(I59:T59)</f>
        <v>1</v>
      </c>
    </row>
    <row r="60" spans="1:21" ht="21.95" customHeight="1" x14ac:dyDescent="0.2">
      <c r="A60" s="119"/>
      <c r="B60" s="35" t="s">
        <v>696</v>
      </c>
      <c r="C60" s="10" t="s">
        <v>695</v>
      </c>
      <c r="D60" s="48" t="s">
        <v>98</v>
      </c>
      <c r="E60" s="11">
        <f>U60</f>
        <v>1</v>
      </c>
      <c r="F60" s="48" t="s">
        <v>69</v>
      </c>
      <c r="G60" s="48" t="s">
        <v>55</v>
      </c>
      <c r="H60" s="10" t="s">
        <v>697</v>
      </c>
      <c r="I60" s="38"/>
      <c r="J60" s="38"/>
      <c r="K60" s="38">
        <v>1</v>
      </c>
      <c r="L60" s="76"/>
      <c r="M60" s="38"/>
      <c r="N60" s="38"/>
      <c r="O60" s="38"/>
      <c r="P60" s="38"/>
      <c r="Q60" s="38"/>
      <c r="R60" s="38"/>
      <c r="S60" s="38"/>
      <c r="T60" s="38"/>
      <c r="U60" s="15">
        <f>SUM(I60:T60)</f>
        <v>1</v>
      </c>
    </row>
    <row r="61" spans="1:21" ht="28.5" customHeight="1" x14ac:dyDescent="0.2">
      <c r="A61" s="119"/>
      <c r="B61" s="35" t="s">
        <v>700</v>
      </c>
      <c r="C61" s="10" t="s">
        <v>698</v>
      </c>
      <c r="D61" s="48" t="s">
        <v>98</v>
      </c>
      <c r="E61" s="11">
        <f>U61</f>
        <v>1</v>
      </c>
      <c r="F61" s="48" t="s">
        <v>69</v>
      </c>
      <c r="G61" s="48" t="s">
        <v>55</v>
      </c>
      <c r="H61" s="10" t="s">
        <v>699</v>
      </c>
      <c r="I61" s="38"/>
      <c r="J61" s="38"/>
      <c r="K61" s="38"/>
      <c r="L61" s="76"/>
      <c r="M61" s="38"/>
      <c r="N61" s="38"/>
      <c r="O61" s="38"/>
      <c r="P61" s="38"/>
      <c r="Q61" s="38"/>
      <c r="R61" s="38">
        <v>1</v>
      </c>
      <c r="S61" s="38"/>
      <c r="T61" s="38"/>
      <c r="U61" s="15">
        <f>SUM(I61:T61)</f>
        <v>1</v>
      </c>
    </row>
    <row r="62" spans="1:21" ht="21.95" customHeight="1" x14ac:dyDescent="0.2">
      <c r="B62" s="31" t="s">
        <v>90</v>
      </c>
      <c r="C62" s="33" t="s">
        <v>91</v>
      </c>
      <c r="D62" s="34"/>
      <c r="E62" s="34"/>
      <c r="F62" s="34"/>
      <c r="G62" s="34"/>
      <c r="H62" s="33"/>
      <c r="I62" s="34"/>
      <c r="J62" s="34"/>
      <c r="K62" s="34"/>
      <c r="L62" s="34"/>
      <c r="M62" s="34"/>
      <c r="N62" s="34"/>
      <c r="O62" s="34"/>
      <c r="P62" s="34"/>
      <c r="Q62" s="34"/>
      <c r="R62" s="34"/>
      <c r="S62" s="34"/>
      <c r="T62" s="34"/>
      <c r="U62" s="34"/>
    </row>
    <row r="63" spans="1:21" ht="24" x14ac:dyDescent="0.2">
      <c r="A63" s="35"/>
      <c r="B63" s="41" t="s">
        <v>502</v>
      </c>
      <c r="C63" s="109" t="s">
        <v>503</v>
      </c>
      <c r="D63" s="48" t="s">
        <v>98</v>
      </c>
      <c r="E63" s="11">
        <f>U63</f>
        <v>4</v>
      </c>
      <c r="F63" s="48" t="s">
        <v>70</v>
      </c>
      <c r="G63" s="48" t="s">
        <v>374</v>
      </c>
      <c r="H63" s="19" t="s">
        <v>649</v>
      </c>
      <c r="I63" s="38"/>
      <c r="J63" s="38"/>
      <c r="K63" s="38"/>
      <c r="L63" s="76"/>
      <c r="M63" s="38"/>
      <c r="N63" s="38">
        <v>1</v>
      </c>
      <c r="O63" s="38">
        <v>1</v>
      </c>
      <c r="P63" s="76"/>
      <c r="Q63" s="38">
        <v>1</v>
      </c>
      <c r="R63" s="38"/>
      <c r="S63" s="38">
        <v>1</v>
      </c>
      <c r="T63" s="38"/>
      <c r="U63" s="15">
        <f>SUM(I63:T63)</f>
        <v>4</v>
      </c>
    </row>
    <row r="64" spans="1:21" ht="24" x14ac:dyDescent="0.2">
      <c r="A64" s="35"/>
      <c r="B64" s="41" t="s">
        <v>277</v>
      </c>
      <c r="C64" s="10" t="s">
        <v>504</v>
      </c>
      <c r="D64" s="48" t="s">
        <v>203</v>
      </c>
      <c r="E64" s="11">
        <f>U64</f>
        <v>8</v>
      </c>
      <c r="F64" s="48" t="s">
        <v>70</v>
      </c>
      <c r="G64" s="48" t="s">
        <v>375</v>
      </c>
      <c r="H64" s="19" t="s">
        <v>688</v>
      </c>
      <c r="I64" s="2"/>
      <c r="J64" s="2">
        <v>1</v>
      </c>
      <c r="K64" s="2">
        <v>1</v>
      </c>
      <c r="L64" s="2"/>
      <c r="M64" s="2">
        <v>3</v>
      </c>
      <c r="N64" s="74"/>
      <c r="O64" s="2">
        <v>1</v>
      </c>
      <c r="P64" s="2"/>
      <c r="Q64" s="2">
        <v>1</v>
      </c>
      <c r="R64" s="2"/>
      <c r="S64" s="2"/>
      <c r="T64" s="39">
        <v>1</v>
      </c>
      <c r="U64" s="15">
        <f>SUM(I64:T64)</f>
        <v>8</v>
      </c>
    </row>
    <row r="65" spans="1:21" ht="24" x14ac:dyDescent="0.2">
      <c r="A65" s="35"/>
      <c r="B65" s="41" t="s">
        <v>687</v>
      </c>
      <c r="C65" s="10" t="s">
        <v>686</v>
      </c>
      <c r="D65" s="48" t="s">
        <v>203</v>
      </c>
      <c r="E65" s="11">
        <f>U65</f>
        <v>1</v>
      </c>
      <c r="F65" s="48" t="s">
        <v>70</v>
      </c>
      <c r="G65" s="48" t="s">
        <v>375</v>
      </c>
      <c r="H65" s="19" t="s">
        <v>689</v>
      </c>
      <c r="I65" s="2"/>
      <c r="J65" s="2"/>
      <c r="K65" s="2"/>
      <c r="L65" s="2"/>
      <c r="M65" s="2"/>
      <c r="N65" s="74"/>
      <c r="O65" s="2"/>
      <c r="P65" s="2"/>
      <c r="Q65" s="2"/>
      <c r="R65" s="2"/>
      <c r="S65" s="2">
        <v>1</v>
      </c>
      <c r="T65" s="74"/>
      <c r="U65" s="15">
        <f>SUM(I65:T65)</f>
        <v>1</v>
      </c>
    </row>
    <row r="66" spans="1:21" ht="21.95" customHeight="1" x14ac:dyDescent="0.2">
      <c r="B66" s="27" t="s">
        <v>71</v>
      </c>
      <c r="C66" s="28"/>
      <c r="D66" s="30"/>
      <c r="E66" s="30"/>
      <c r="F66" s="30"/>
      <c r="G66" s="30"/>
      <c r="H66" s="29"/>
      <c r="I66" s="30"/>
      <c r="J66" s="30"/>
      <c r="K66" s="30"/>
      <c r="L66" s="30"/>
      <c r="M66" s="30"/>
      <c r="N66" s="30"/>
      <c r="O66" s="30"/>
      <c r="P66" s="30"/>
      <c r="Q66" s="30"/>
      <c r="R66" s="30"/>
      <c r="S66" s="30"/>
      <c r="T66" s="30"/>
      <c r="U66" s="30"/>
    </row>
    <row r="67" spans="1:21" ht="21.95" customHeight="1" x14ac:dyDescent="0.2">
      <c r="B67" s="31" t="s">
        <v>362</v>
      </c>
      <c r="C67" s="32"/>
      <c r="D67" s="34"/>
      <c r="E67" s="34"/>
      <c r="F67" s="34"/>
      <c r="G67" s="34"/>
      <c r="H67" s="33"/>
      <c r="I67" s="34"/>
      <c r="J67" s="34"/>
      <c r="K67" s="34"/>
      <c r="L67" s="34"/>
      <c r="M67" s="34"/>
      <c r="N67" s="34"/>
      <c r="O67" s="34"/>
      <c r="P67" s="34"/>
      <c r="Q67" s="34"/>
      <c r="R67" s="34"/>
      <c r="S67" s="34"/>
      <c r="T67" s="34"/>
      <c r="U67" s="34"/>
    </row>
    <row r="68" spans="1:21" ht="36" x14ac:dyDescent="0.2">
      <c r="A68" s="35"/>
      <c r="B68" s="35" t="s">
        <v>505</v>
      </c>
      <c r="C68" s="10" t="s">
        <v>92</v>
      </c>
      <c r="D68" s="48" t="s">
        <v>47</v>
      </c>
      <c r="E68" s="11">
        <f t="shared" ref="E68" si="7">U68</f>
        <v>6</v>
      </c>
      <c r="F68" s="48" t="s">
        <v>45</v>
      </c>
      <c r="G68" s="1" t="s">
        <v>55</v>
      </c>
      <c r="H68" s="10" t="s">
        <v>73</v>
      </c>
      <c r="I68" s="36">
        <v>1</v>
      </c>
      <c r="J68" s="36">
        <v>1</v>
      </c>
      <c r="K68" s="37">
        <v>1</v>
      </c>
      <c r="L68" s="38">
        <v>1</v>
      </c>
      <c r="M68" s="37">
        <v>1</v>
      </c>
      <c r="N68" s="38">
        <v>1</v>
      </c>
      <c r="O68" s="38"/>
      <c r="P68" s="76"/>
      <c r="Q68" s="38"/>
      <c r="R68" s="38"/>
      <c r="S68" s="38"/>
      <c r="T68" s="38"/>
      <c r="U68" s="15">
        <f>SUM(I68:T68)</f>
        <v>6</v>
      </c>
    </row>
    <row r="69" spans="1:21" ht="35.25" customHeight="1" x14ac:dyDescent="0.2">
      <c r="A69" s="35"/>
      <c r="B69" s="41" t="s">
        <v>628</v>
      </c>
      <c r="C69" s="10" t="s">
        <v>506</v>
      </c>
      <c r="D69" s="48" t="s">
        <v>47</v>
      </c>
      <c r="E69" s="11">
        <f>U69</f>
        <v>3</v>
      </c>
      <c r="F69" s="48" t="s">
        <v>45</v>
      </c>
      <c r="G69" s="78" t="s">
        <v>55</v>
      </c>
      <c r="H69" s="10" t="s">
        <v>507</v>
      </c>
      <c r="I69" s="36"/>
      <c r="J69" s="36">
        <v>1</v>
      </c>
      <c r="K69" s="37">
        <v>1</v>
      </c>
      <c r="L69" s="38"/>
      <c r="M69" s="37">
        <v>1</v>
      </c>
      <c r="N69" s="38"/>
      <c r="O69" s="38"/>
      <c r="P69" s="76"/>
      <c r="Q69" s="38"/>
      <c r="R69" s="38"/>
      <c r="S69" s="38"/>
      <c r="T69" s="38"/>
      <c r="U69" s="15">
        <f>SUM(I69:T69)</f>
        <v>3</v>
      </c>
    </row>
    <row r="70" spans="1:21" ht="21.95" customHeight="1" x14ac:dyDescent="0.2">
      <c r="B70" s="31" t="s">
        <v>74</v>
      </c>
      <c r="C70" s="32"/>
      <c r="D70" s="34"/>
      <c r="E70" s="34"/>
      <c r="F70" s="34"/>
      <c r="G70" s="34"/>
      <c r="H70" s="33"/>
      <c r="I70" s="34"/>
      <c r="J70" s="34"/>
      <c r="K70" s="34"/>
      <c r="L70" s="34"/>
      <c r="M70" s="34"/>
      <c r="N70" s="34"/>
      <c r="O70" s="34"/>
      <c r="P70" s="34"/>
      <c r="Q70" s="34"/>
      <c r="R70" s="34"/>
      <c r="S70" s="34"/>
      <c r="T70" s="34"/>
      <c r="U70" s="34"/>
    </row>
    <row r="71" spans="1:21" ht="36" x14ac:dyDescent="0.2">
      <c r="A71" s="35"/>
      <c r="B71" s="35" t="s">
        <v>629</v>
      </c>
      <c r="C71" s="16" t="s">
        <v>75</v>
      </c>
      <c r="D71" s="48" t="s">
        <v>47</v>
      </c>
      <c r="E71" s="11">
        <f>U71</f>
        <v>11</v>
      </c>
      <c r="F71" s="48" t="s">
        <v>45</v>
      </c>
      <c r="G71" s="1" t="s">
        <v>55</v>
      </c>
      <c r="H71" s="10" t="s">
        <v>76</v>
      </c>
      <c r="I71" s="36"/>
      <c r="J71" s="37">
        <v>4</v>
      </c>
      <c r="K71" s="37">
        <v>3</v>
      </c>
      <c r="L71" s="38">
        <v>2</v>
      </c>
      <c r="M71" s="38"/>
      <c r="N71" s="38">
        <v>1</v>
      </c>
      <c r="O71" s="38"/>
      <c r="P71" s="38"/>
      <c r="Q71" s="38"/>
      <c r="R71" s="38"/>
      <c r="S71" s="38">
        <v>1</v>
      </c>
      <c r="T71" s="38"/>
      <c r="U71" s="15">
        <f>SUM(I71:T71)</f>
        <v>11</v>
      </c>
    </row>
    <row r="72" spans="1:21" ht="21.95" customHeight="1" x14ac:dyDescent="0.2">
      <c r="B72" s="31" t="s">
        <v>93</v>
      </c>
      <c r="C72" s="32"/>
      <c r="D72" s="34"/>
      <c r="E72" s="34"/>
      <c r="F72" s="34"/>
      <c r="G72" s="34"/>
      <c r="H72" s="33"/>
      <c r="I72" s="34"/>
      <c r="J72" s="34"/>
      <c r="K72" s="34"/>
      <c r="L72" s="34"/>
      <c r="M72" s="34"/>
      <c r="N72" s="34"/>
      <c r="O72" s="34"/>
      <c r="P72" s="34"/>
      <c r="Q72" s="34"/>
      <c r="R72" s="34"/>
      <c r="S72" s="34"/>
      <c r="T72" s="34"/>
      <c r="U72" s="34"/>
    </row>
    <row r="73" spans="1:21" ht="36" x14ac:dyDescent="0.2">
      <c r="A73" s="35"/>
      <c r="B73" s="35" t="s">
        <v>630</v>
      </c>
      <c r="C73" s="16" t="s">
        <v>94</v>
      </c>
      <c r="D73" s="48" t="s">
        <v>47</v>
      </c>
      <c r="E73" s="11">
        <f t="shared" ref="E73" si="8">U73</f>
        <v>2</v>
      </c>
      <c r="F73" s="48" t="s">
        <v>45</v>
      </c>
      <c r="G73" s="1" t="s">
        <v>55</v>
      </c>
      <c r="H73" s="10" t="s">
        <v>77</v>
      </c>
      <c r="I73" s="38"/>
      <c r="J73" s="38"/>
      <c r="K73" s="81"/>
      <c r="L73" s="37">
        <v>1</v>
      </c>
      <c r="M73" s="38"/>
      <c r="N73" s="38"/>
      <c r="O73" s="38"/>
      <c r="P73" s="38"/>
      <c r="Q73" s="38"/>
      <c r="R73" s="38">
        <v>1</v>
      </c>
      <c r="S73" s="38"/>
      <c r="T73" s="38"/>
      <c r="U73" s="15">
        <f>SUM(I73:T73)</f>
        <v>2</v>
      </c>
    </row>
    <row r="74" spans="1:21" ht="21.95" customHeight="1" x14ac:dyDescent="0.2">
      <c r="B74" s="31" t="s">
        <v>108</v>
      </c>
      <c r="C74" s="32"/>
      <c r="D74" s="34"/>
      <c r="E74" s="34"/>
      <c r="F74" s="34"/>
      <c r="G74" s="34"/>
      <c r="H74" s="33"/>
      <c r="I74" s="34"/>
      <c r="J74" s="34"/>
      <c r="K74" s="34"/>
      <c r="L74" s="34"/>
      <c r="M74" s="34"/>
      <c r="N74" s="34"/>
      <c r="O74" s="34"/>
      <c r="P74" s="34"/>
      <c r="Q74" s="34"/>
      <c r="R74" s="34"/>
      <c r="S74" s="34"/>
      <c r="T74" s="34"/>
      <c r="U74" s="34"/>
    </row>
    <row r="75" spans="1:21" ht="60" x14ac:dyDescent="0.2">
      <c r="B75" s="35" t="s">
        <v>631</v>
      </c>
      <c r="C75" s="16" t="s">
        <v>109</v>
      </c>
      <c r="D75" s="48" t="s">
        <v>47</v>
      </c>
      <c r="E75" s="11">
        <f>U75</f>
        <v>2</v>
      </c>
      <c r="F75" s="48" t="s">
        <v>45</v>
      </c>
      <c r="G75" s="1" t="s">
        <v>55</v>
      </c>
      <c r="H75" s="10" t="s">
        <v>110</v>
      </c>
      <c r="I75" s="36"/>
      <c r="J75" s="38">
        <v>1</v>
      </c>
      <c r="K75" s="76"/>
      <c r="L75" s="36">
        <v>1</v>
      </c>
      <c r="M75" s="38"/>
      <c r="N75" s="38"/>
      <c r="O75" s="38"/>
      <c r="P75" s="38"/>
      <c r="Q75" s="38"/>
      <c r="R75" s="38"/>
      <c r="S75" s="38"/>
      <c r="T75" s="38"/>
      <c r="U75" s="15">
        <f>SUM(I75:T75)</f>
        <v>2</v>
      </c>
    </row>
    <row r="76" spans="1:21" ht="21.95" customHeight="1" x14ac:dyDescent="0.2">
      <c r="B76" s="23" t="s">
        <v>116</v>
      </c>
      <c r="C76" s="73" t="s">
        <v>338</v>
      </c>
      <c r="D76" s="73"/>
      <c r="E76" s="73"/>
      <c r="F76" s="73"/>
      <c r="G76" s="73"/>
      <c r="H76" s="73"/>
      <c r="I76" s="73"/>
      <c r="J76" s="73"/>
      <c r="K76" s="73"/>
      <c r="L76" s="73"/>
      <c r="M76" s="73"/>
      <c r="N76" s="73"/>
      <c r="O76" s="73"/>
      <c r="P76" s="73"/>
      <c r="Q76" s="73"/>
      <c r="R76" s="73"/>
      <c r="S76" s="73"/>
      <c r="T76" s="73"/>
      <c r="U76" s="73"/>
    </row>
    <row r="77" spans="1:21" ht="21.95" customHeight="1" x14ac:dyDescent="0.2">
      <c r="B77" s="27" t="s">
        <v>18</v>
      </c>
      <c r="C77" s="29"/>
      <c r="D77" s="30"/>
      <c r="E77" s="30"/>
      <c r="F77" s="30"/>
      <c r="G77" s="30"/>
      <c r="H77" s="29"/>
      <c r="I77" s="30"/>
      <c r="J77" s="30"/>
      <c r="K77" s="30"/>
      <c r="L77" s="30"/>
      <c r="M77" s="30"/>
      <c r="N77" s="30"/>
      <c r="O77" s="30"/>
      <c r="P77" s="30"/>
      <c r="Q77" s="30"/>
      <c r="R77" s="30"/>
      <c r="S77" s="30"/>
      <c r="T77" s="30"/>
      <c r="U77" s="30"/>
    </row>
    <row r="78" spans="1:21" ht="21.95" customHeight="1" x14ac:dyDescent="0.2">
      <c r="B78" s="31" t="s">
        <v>19</v>
      </c>
      <c r="C78" s="33" t="s">
        <v>20</v>
      </c>
      <c r="D78" s="34"/>
      <c r="E78" s="34"/>
      <c r="F78" s="34"/>
      <c r="G78" s="34"/>
      <c r="H78" s="33"/>
      <c r="I78" s="34"/>
      <c r="J78" s="34"/>
      <c r="K78" s="34"/>
      <c r="L78" s="34"/>
      <c r="M78" s="34"/>
      <c r="N78" s="34"/>
      <c r="O78" s="34"/>
      <c r="P78" s="34"/>
      <c r="Q78" s="34"/>
      <c r="R78" s="34"/>
      <c r="S78" s="34"/>
      <c r="T78" s="34"/>
      <c r="U78" s="34"/>
    </row>
    <row r="79" spans="1:21" ht="24" x14ac:dyDescent="0.2">
      <c r="B79" s="35" t="s">
        <v>117</v>
      </c>
      <c r="C79" s="10" t="s">
        <v>118</v>
      </c>
      <c r="D79" s="49" t="s">
        <v>22</v>
      </c>
      <c r="E79" s="20">
        <f t="shared" ref="E79:E86" si="9">U79</f>
        <v>4</v>
      </c>
      <c r="F79" s="49" t="s">
        <v>23</v>
      </c>
      <c r="G79" s="1" t="s">
        <v>24</v>
      </c>
      <c r="H79" s="19" t="s">
        <v>383</v>
      </c>
      <c r="I79" s="38"/>
      <c r="J79" s="38"/>
      <c r="K79" s="38">
        <v>1</v>
      </c>
      <c r="L79" s="38"/>
      <c r="M79" s="38"/>
      <c r="N79" s="39">
        <v>1</v>
      </c>
      <c r="O79" s="2"/>
      <c r="P79" s="2"/>
      <c r="Q79" s="2">
        <v>1</v>
      </c>
      <c r="R79" s="2"/>
      <c r="S79" s="2"/>
      <c r="T79" s="39">
        <v>1</v>
      </c>
      <c r="U79" s="15">
        <f t="shared" ref="U79:U86" si="10">SUM(I79:T79)</f>
        <v>4</v>
      </c>
    </row>
    <row r="80" spans="1:21" ht="24" x14ac:dyDescent="0.2">
      <c r="B80" s="35" t="s">
        <v>119</v>
      </c>
      <c r="C80" s="10" t="s">
        <v>120</v>
      </c>
      <c r="D80" s="49" t="s">
        <v>22</v>
      </c>
      <c r="E80" s="20">
        <f t="shared" si="9"/>
        <v>11</v>
      </c>
      <c r="F80" s="49" t="s">
        <v>23</v>
      </c>
      <c r="G80" s="1" t="s">
        <v>24</v>
      </c>
      <c r="H80" s="9" t="s">
        <v>384</v>
      </c>
      <c r="I80" s="38"/>
      <c r="J80" s="38"/>
      <c r="K80" s="37">
        <v>11</v>
      </c>
      <c r="L80" s="38"/>
      <c r="M80" s="38"/>
      <c r="N80" s="2"/>
      <c r="O80" s="2"/>
      <c r="P80" s="2"/>
      <c r="Q80" s="2"/>
      <c r="R80" s="2"/>
      <c r="S80" s="2"/>
      <c r="T80" s="2"/>
      <c r="U80" s="15">
        <f t="shared" si="10"/>
        <v>11</v>
      </c>
    </row>
    <row r="81" spans="2:21" ht="24" x14ac:dyDescent="0.2">
      <c r="B81" s="35" t="s">
        <v>121</v>
      </c>
      <c r="C81" s="10" t="s">
        <v>122</v>
      </c>
      <c r="D81" s="49" t="s">
        <v>22</v>
      </c>
      <c r="E81" s="20">
        <f t="shared" si="9"/>
        <v>11</v>
      </c>
      <c r="F81" s="49" t="s">
        <v>26</v>
      </c>
      <c r="G81" s="1" t="s">
        <v>24</v>
      </c>
      <c r="H81" s="9" t="s">
        <v>385</v>
      </c>
      <c r="I81" s="38"/>
      <c r="J81" s="38"/>
      <c r="K81" s="38"/>
      <c r="L81" s="38"/>
      <c r="M81" s="38"/>
      <c r="N81" s="2"/>
      <c r="O81" s="2"/>
      <c r="P81" s="2"/>
      <c r="Q81" s="2"/>
      <c r="R81" s="39">
        <v>11</v>
      </c>
      <c r="S81" s="2"/>
      <c r="T81" s="2"/>
      <c r="U81" s="15">
        <f t="shared" si="10"/>
        <v>11</v>
      </c>
    </row>
    <row r="82" spans="2:21" ht="24" x14ac:dyDescent="0.2">
      <c r="B82" s="35" t="s">
        <v>123</v>
      </c>
      <c r="C82" s="10" t="s">
        <v>124</v>
      </c>
      <c r="D82" s="49" t="s">
        <v>22</v>
      </c>
      <c r="E82" s="20">
        <f t="shared" si="9"/>
        <v>4</v>
      </c>
      <c r="F82" s="49" t="s">
        <v>23</v>
      </c>
      <c r="G82" s="1" t="s">
        <v>24</v>
      </c>
      <c r="H82" s="9" t="s">
        <v>386</v>
      </c>
      <c r="I82" s="38"/>
      <c r="J82" s="38"/>
      <c r="K82" s="38"/>
      <c r="L82" s="38"/>
      <c r="M82" s="38"/>
      <c r="N82" s="39">
        <v>2</v>
      </c>
      <c r="O82" s="2"/>
      <c r="P82" s="2"/>
      <c r="Q82" s="2"/>
      <c r="R82" s="2"/>
      <c r="S82" s="2"/>
      <c r="T82" s="39">
        <v>2</v>
      </c>
      <c r="U82" s="15">
        <f t="shared" si="10"/>
        <v>4</v>
      </c>
    </row>
    <row r="83" spans="2:21" ht="24" x14ac:dyDescent="0.2">
      <c r="B83" s="35" t="s">
        <v>125</v>
      </c>
      <c r="C83" s="10" t="s">
        <v>126</v>
      </c>
      <c r="D83" s="49" t="s">
        <v>22</v>
      </c>
      <c r="E83" s="20">
        <f t="shared" si="9"/>
        <v>44</v>
      </c>
      <c r="F83" s="49" t="s">
        <v>26</v>
      </c>
      <c r="G83" s="1" t="s">
        <v>24</v>
      </c>
      <c r="H83" s="9" t="s">
        <v>387</v>
      </c>
      <c r="I83" s="38"/>
      <c r="J83" s="38"/>
      <c r="K83" s="37">
        <v>11</v>
      </c>
      <c r="L83" s="38"/>
      <c r="M83" s="38"/>
      <c r="N83" s="39">
        <v>11</v>
      </c>
      <c r="O83" s="2"/>
      <c r="P83" s="2"/>
      <c r="Q83" s="39">
        <v>11</v>
      </c>
      <c r="R83" s="2"/>
      <c r="S83" s="2"/>
      <c r="T83" s="39">
        <v>11</v>
      </c>
      <c r="U83" s="15">
        <f t="shared" si="10"/>
        <v>44</v>
      </c>
    </row>
    <row r="84" spans="2:21" ht="24" x14ac:dyDescent="0.2">
      <c r="B84" s="35" t="s">
        <v>127</v>
      </c>
      <c r="C84" s="10" t="s">
        <v>128</v>
      </c>
      <c r="D84" s="49" t="s">
        <v>22</v>
      </c>
      <c r="E84" s="20">
        <f t="shared" si="9"/>
        <v>75</v>
      </c>
      <c r="F84" s="49" t="s">
        <v>129</v>
      </c>
      <c r="G84" s="1" t="s">
        <v>24</v>
      </c>
      <c r="H84" s="9" t="s">
        <v>388</v>
      </c>
      <c r="I84" s="38"/>
      <c r="J84" s="38"/>
      <c r="K84" s="38"/>
      <c r="L84" s="38"/>
      <c r="M84" s="38"/>
      <c r="N84" s="39">
        <v>35</v>
      </c>
      <c r="O84" s="2"/>
      <c r="P84" s="2"/>
      <c r="Q84" s="2"/>
      <c r="R84" s="2"/>
      <c r="S84" s="2"/>
      <c r="T84" s="39">
        <v>40</v>
      </c>
      <c r="U84" s="15">
        <f t="shared" si="10"/>
        <v>75</v>
      </c>
    </row>
    <row r="85" spans="2:21" ht="24" x14ac:dyDescent="0.2">
      <c r="B85" s="35" t="s">
        <v>130</v>
      </c>
      <c r="C85" s="10" t="s">
        <v>131</v>
      </c>
      <c r="D85" s="49" t="s">
        <v>22</v>
      </c>
      <c r="E85" s="20">
        <f t="shared" si="9"/>
        <v>7</v>
      </c>
      <c r="F85" s="49" t="s">
        <v>129</v>
      </c>
      <c r="G85" s="1" t="s">
        <v>24</v>
      </c>
      <c r="H85" s="9" t="s">
        <v>389</v>
      </c>
      <c r="I85" s="38"/>
      <c r="J85" s="38">
        <v>1</v>
      </c>
      <c r="K85" s="38"/>
      <c r="L85" s="38">
        <v>1</v>
      </c>
      <c r="M85" s="38"/>
      <c r="N85" s="39">
        <v>1</v>
      </c>
      <c r="O85" s="2"/>
      <c r="P85" s="2">
        <v>2</v>
      </c>
      <c r="Q85" s="2"/>
      <c r="R85" s="2">
        <v>2</v>
      </c>
      <c r="S85" s="2"/>
      <c r="T85" s="74"/>
      <c r="U85" s="15">
        <f t="shared" si="10"/>
        <v>7</v>
      </c>
    </row>
    <row r="86" spans="2:21" ht="36" x14ac:dyDescent="0.2">
      <c r="B86" s="35" t="s">
        <v>132</v>
      </c>
      <c r="C86" s="10" t="s">
        <v>133</v>
      </c>
      <c r="D86" s="49" t="s">
        <v>134</v>
      </c>
      <c r="E86" s="20">
        <f t="shared" si="9"/>
        <v>44</v>
      </c>
      <c r="F86" s="49" t="s">
        <v>45</v>
      </c>
      <c r="G86" s="48" t="s">
        <v>24</v>
      </c>
      <c r="H86" s="9" t="s">
        <v>390</v>
      </c>
      <c r="I86" s="38"/>
      <c r="J86" s="38"/>
      <c r="K86" s="37">
        <v>11</v>
      </c>
      <c r="L86" s="38"/>
      <c r="M86" s="38"/>
      <c r="N86" s="39">
        <v>11</v>
      </c>
      <c r="O86" s="2"/>
      <c r="P86" s="2"/>
      <c r="Q86" s="39">
        <v>11</v>
      </c>
      <c r="R86" s="2"/>
      <c r="S86" s="2"/>
      <c r="T86" s="39">
        <v>11</v>
      </c>
      <c r="U86" s="15">
        <f t="shared" si="10"/>
        <v>44</v>
      </c>
    </row>
    <row r="87" spans="2:21" ht="21.95" customHeight="1" x14ac:dyDescent="0.2">
      <c r="B87" s="31" t="s">
        <v>51</v>
      </c>
      <c r="C87" s="33" t="s">
        <v>52</v>
      </c>
      <c r="D87" s="34"/>
      <c r="E87" s="34"/>
      <c r="F87" s="34"/>
      <c r="G87" s="34"/>
      <c r="H87" s="33"/>
      <c r="I87" s="34"/>
      <c r="J87" s="34"/>
      <c r="K87" s="34"/>
      <c r="L87" s="34"/>
      <c r="M87" s="34"/>
      <c r="N87" s="34"/>
      <c r="O87" s="34"/>
      <c r="P87" s="34"/>
      <c r="Q87" s="34"/>
      <c r="R87" s="34"/>
      <c r="S87" s="34"/>
      <c r="T87" s="34"/>
      <c r="U87" s="34"/>
    </row>
    <row r="88" spans="2:21" ht="21.95" customHeight="1" x14ac:dyDescent="0.2">
      <c r="B88" s="35" t="s">
        <v>135</v>
      </c>
      <c r="C88" s="10" t="s">
        <v>136</v>
      </c>
      <c r="D88" s="49" t="s">
        <v>95</v>
      </c>
      <c r="E88" s="20">
        <f t="shared" ref="E88:E89" si="11">U88</f>
        <v>3</v>
      </c>
      <c r="F88" s="49" t="s">
        <v>66</v>
      </c>
      <c r="G88" s="48" t="s">
        <v>60</v>
      </c>
      <c r="H88" s="9" t="s">
        <v>391</v>
      </c>
      <c r="I88" s="38"/>
      <c r="J88" s="38"/>
      <c r="K88" s="38">
        <v>1</v>
      </c>
      <c r="L88" s="38">
        <v>1</v>
      </c>
      <c r="M88" s="38">
        <v>1</v>
      </c>
      <c r="N88" s="74"/>
      <c r="O88" s="2"/>
      <c r="P88" s="2"/>
      <c r="Q88" s="2"/>
      <c r="R88" s="2"/>
      <c r="S88" s="2"/>
      <c r="T88" s="39"/>
      <c r="U88" s="15">
        <f>SUM(I88:T88)</f>
        <v>3</v>
      </c>
    </row>
    <row r="89" spans="2:21" ht="21.95" customHeight="1" x14ac:dyDescent="0.2">
      <c r="B89" s="35" t="s">
        <v>139</v>
      </c>
      <c r="C89" s="10" t="s">
        <v>140</v>
      </c>
      <c r="D89" s="49" t="s">
        <v>141</v>
      </c>
      <c r="E89" s="20">
        <f t="shared" si="11"/>
        <v>17</v>
      </c>
      <c r="F89" s="49" t="s">
        <v>50</v>
      </c>
      <c r="G89" s="48" t="s">
        <v>60</v>
      </c>
      <c r="H89" s="9" t="s">
        <v>392</v>
      </c>
      <c r="I89" s="38"/>
      <c r="J89" s="38"/>
      <c r="K89" s="38"/>
      <c r="L89" s="38">
        <v>1</v>
      </c>
      <c r="M89" s="38">
        <v>2</v>
      </c>
      <c r="N89" s="39">
        <v>2</v>
      </c>
      <c r="O89" s="2">
        <v>2</v>
      </c>
      <c r="P89" s="2">
        <v>2</v>
      </c>
      <c r="Q89" s="2">
        <v>2</v>
      </c>
      <c r="R89" s="2">
        <v>2</v>
      </c>
      <c r="S89" s="2">
        <v>2</v>
      </c>
      <c r="T89" s="39">
        <v>2</v>
      </c>
      <c r="U89" s="15">
        <f>SUM(I89:T89)</f>
        <v>17</v>
      </c>
    </row>
    <row r="90" spans="2:21" ht="21.95" customHeight="1" x14ac:dyDescent="0.2">
      <c r="B90" s="31" t="s">
        <v>67</v>
      </c>
      <c r="C90" s="33" t="s">
        <v>100</v>
      </c>
      <c r="D90" s="34"/>
      <c r="E90" s="34"/>
      <c r="F90" s="34"/>
      <c r="G90" s="34"/>
      <c r="H90" s="33"/>
      <c r="I90" s="34"/>
      <c r="J90" s="34"/>
      <c r="K90" s="34"/>
      <c r="L90" s="34"/>
      <c r="M90" s="34"/>
      <c r="N90" s="34"/>
      <c r="O90" s="34"/>
      <c r="P90" s="34"/>
      <c r="Q90" s="34"/>
      <c r="R90" s="34"/>
      <c r="S90" s="34"/>
      <c r="T90" s="34"/>
      <c r="U90" s="34"/>
    </row>
    <row r="91" spans="2:21" ht="21.95" customHeight="1" x14ac:dyDescent="0.2">
      <c r="B91" s="35" t="s">
        <v>142</v>
      </c>
      <c r="C91" s="10" t="s">
        <v>143</v>
      </c>
      <c r="D91" s="49" t="s">
        <v>22</v>
      </c>
      <c r="E91" s="20">
        <f t="shared" ref="E91:E92" si="12">U91</f>
        <v>1</v>
      </c>
      <c r="F91" s="49" t="s">
        <v>23</v>
      </c>
      <c r="G91" s="48" t="s">
        <v>24</v>
      </c>
      <c r="H91" s="66" t="s">
        <v>393</v>
      </c>
      <c r="I91" s="38"/>
      <c r="J91" s="38"/>
      <c r="K91" s="38"/>
      <c r="L91" s="38">
        <v>1</v>
      </c>
      <c r="M91" s="38"/>
      <c r="N91" s="74"/>
      <c r="O91" s="2"/>
      <c r="P91" s="2"/>
      <c r="Q91" s="2"/>
      <c r="R91" s="2"/>
      <c r="S91" s="2"/>
      <c r="T91" s="74"/>
      <c r="U91" s="15">
        <f>SUM(I91:T91)</f>
        <v>1</v>
      </c>
    </row>
    <row r="92" spans="2:21" ht="21.95" customHeight="1" x14ac:dyDescent="0.2">
      <c r="B92" s="35" t="s">
        <v>144</v>
      </c>
      <c r="C92" s="10" t="s">
        <v>402</v>
      </c>
      <c r="D92" s="49" t="s">
        <v>68</v>
      </c>
      <c r="E92" s="20">
        <f t="shared" si="12"/>
        <v>1</v>
      </c>
      <c r="F92" s="49" t="s">
        <v>69</v>
      </c>
      <c r="G92" s="48" t="s">
        <v>55</v>
      </c>
      <c r="H92" s="66" t="s">
        <v>393</v>
      </c>
      <c r="I92" s="38"/>
      <c r="J92" s="38"/>
      <c r="K92" s="38"/>
      <c r="L92" s="38"/>
      <c r="M92" s="38"/>
      <c r="N92" s="2">
        <v>1</v>
      </c>
      <c r="O92" s="2"/>
      <c r="P92" s="2"/>
      <c r="Q92" s="2"/>
      <c r="R92" s="2"/>
      <c r="S92" s="2"/>
      <c r="T92" s="74"/>
      <c r="U92" s="15">
        <f>SUM(I92:T92)</f>
        <v>1</v>
      </c>
    </row>
    <row r="93" spans="2:21" ht="21.95" customHeight="1" x14ac:dyDescent="0.2">
      <c r="B93" s="31" t="s">
        <v>78</v>
      </c>
      <c r="C93" s="33" t="s">
        <v>145</v>
      </c>
      <c r="D93" s="34"/>
      <c r="E93" s="34"/>
      <c r="F93" s="34"/>
      <c r="G93" s="34"/>
      <c r="H93" s="33"/>
      <c r="I93" s="34"/>
      <c r="J93" s="34"/>
      <c r="K93" s="34"/>
      <c r="L93" s="34"/>
      <c r="M93" s="34"/>
      <c r="N93" s="34"/>
      <c r="O93" s="34"/>
      <c r="P93" s="34"/>
      <c r="Q93" s="34"/>
      <c r="R93" s="34"/>
      <c r="S93" s="34"/>
      <c r="T93" s="34"/>
      <c r="U93" s="34"/>
    </row>
    <row r="94" spans="2:21" ht="21.95" customHeight="1" x14ac:dyDescent="0.2">
      <c r="B94" s="35" t="s">
        <v>97</v>
      </c>
      <c r="C94" s="10" t="s">
        <v>146</v>
      </c>
      <c r="D94" s="49" t="s">
        <v>68</v>
      </c>
      <c r="E94" s="20">
        <f t="shared" ref="E94:E95" si="13">U94</f>
        <v>1</v>
      </c>
      <c r="F94" s="49" t="s">
        <v>69</v>
      </c>
      <c r="G94" s="1" t="s">
        <v>55</v>
      </c>
      <c r="H94" s="66" t="s">
        <v>393</v>
      </c>
      <c r="I94" s="2"/>
      <c r="J94" s="2"/>
      <c r="K94" s="38"/>
      <c r="L94" s="38"/>
      <c r="M94" s="38"/>
      <c r="N94" s="2"/>
      <c r="O94" s="2"/>
      <c r="P94" s="2"/>
      <c r="Q94" s="2"/>
      <c r="R94" s="2"/>
      <c r="S94" s="2">
        <v>1</v>
      </c>
      <c r="T94" s="74"/>
      <c r="U94" s="15">
        <f>SUM(I94:T94)</f>
        <v>1</v>
      </c>
    </row>
    <row r="95" spans="2:21" ht="21.95" customHeight="1" x14ac:dyDescent="0.2">
      <c r="B95" s="35" t="s">
        <v>147</v>
      </c>
      <c r="C95" s="10" t="s">
        <v>148</v>
      </c>
      <c r="D95" s="49" t="s">
        <v>149</v>
      </c>
      <c r="E95" s="20">
        <f t="shared" si="13"/>
        <v>1</v>
      </c>
      <c r="F95" s="49" t="s">
        <v>69</v>
      </c>
      <c r="G95" s="1" t="s">
        <v>55</v>
      </c>
      <c r="H95" s="66" t="s">
        <v>393</v>
      </c>
      <c r="I95" s="2"/>
      <c r="J95" s="2"/>
      <c r="K95" s="38"/>
      <c r="L95" s="38"/>
      <c r="M95" s="38"/>
      <c r="N95" s="2">
        <v>1</v>
      </c>
      <c r="O95" s="2"/>
      <c r="P95" s="2"/>
      <c r="Q95" s="2"/>
      <c r="R95" s="2"/>
      <c r="S95" s="2"/>
      <c r="T95" s="74"/>
      <c r="U95" s="15">
        <f>SUM(I95:T95)</f>
        <v>1</v>
      </c>
    </row>
    <row r="96" spans="2:21" ht="21.95" customHeight="1" x14ac:dyDescent="0.2">
      <c r="B96" s="31" t="s">
        <v>90</v>
      </c>
      <c r="C96" s="33" t="s">
        <v>150</v>
      </c>
      <c r="D96" s="34"/>
      <c r="E96" s="34"/>
      <c r="F96" s="34"/>
      <c r="G96" s="34"/>
      <c r="H96" s="33"/>
      <c r="I96" s="34"/>
      <c r="J96" s="34"/>
      <c r="K96" s="34"/>
      <c r="L96" s="34"/>
      <c r="M96" s="34"/>
      <c r="N96" s="34"/>
      <c r="O96" s="34"/>
      <c r="P96" s="34"/>
      <c r="Q96" s="34"/>
      <c r="R96" s="34"/>
      <c r="S96" s="34"/>
      <c r="T96" s="34"/>
      <c r="U96" s="34"/>
    </row>
    <row r="97" spans="2:21" ht="21.95" customHeight="1" x14ac:dyDescent="0.2">
      <c r="B97" s="35" t="s">
        <v>151</v>
      </c>
      <c r="C97" s="10" t="s">
        <v>152</v>
      </c>
      <c r="D97" s="49" t="s">
        <v>153</v>
      </c>
      <c r="E97" s="20">
        <f t="shared" ref="E97:E98" si="14">U97</f>
        <v>1</v>
      </c>
      <c r="F97" s="49" t="s">
        <v>70</v>
      </c>
      <c r="G97" s="48" t="s">
        <v>70</v>
      </c>
      <c r="H97" s="9" t="s">
        <v>396</v>
      </c>
      <c r="I97" s="2"/>
      <c r="J97" s="2"/>
      <c r="K97" s="2"/>
      <c r="L97" s="2"/>
      <c r="M97" s="2"/>
      <c r="N97" s="2"/>
      <c r="O97" s="2"/>
      <c r="P97" s="2"/>
      <c r="Q97" s="74"/>
      <c r="R97" s="2"/>
      <c r="S97" s="2"/>
      <c r="T97" s="2">
        <v>1</v>
      </c>
      <c r="U97" s="15">
        <f>SUM(I97:T97)</f>
        <v>1</v>
      </c>
    </row>
    <row r="98" spans="2:21" ht="21.95" customHeight="1" x14ac:dyDescent="0.2">
      <c r="B98" s="35" t="s">
        <v>154</v>
      </c>
      <c r="C98" s="19" t="s">
        <v>155</v>
      </c>
      <c r="D98" s="49" t="s">
        <v>153</v>
      </c>
      <c r="E98" s="20">
        <f t="shared" si="14"/>
        <v>2</v>
      </c>
      <c r="F98" s="49" t="s">
        <v>70</v>
      </c>
      <c r="G98" s="48" t="s">
        <v>382</v>
      </c>
      <c r="H98" s="72" t="s">
        <v>393</v>
      </c>
      <c r="I98" s="2"/>
      <c r="J98" s="2"/>
      <c r="K98" s="2">
        <v>1</v>
      </c>
      <c r="L98" s="2"/>
      <c r="M98" s="2">
        <v>1</v>
      </c>
      <c r="N98" s="74"/>
      <c r="O98" s="2"/>
      <c r="P98" s="2"/>
      <c r="Q98" s="2"/>
      <c r="R98" s="2"/>
      <c r="S98" s="2"/>
      <c r="T98" s="74"/>
      <c r="U98" s="15">
        <f>SUM(I98:T98)</f>
        <v>2</v>
      </c>
    </row>
    <row r="99" spans="2:21" ht="21.95" customHeight="1" x14ac:dyDescent="0.2">
      <c r="B99" s="27" t="s">
        <v>156</v>
      </c>
      <c r="C99" s="29"/>
      <c r="D99" s="30"/>
      <c r="E99" s="30"/>
      <c r="F99" s="30"/>
      <c r="G99" s="30"/>
      <c r="H99" s="29"/>
      <c r="I99" s="30"/>
      <c r="J99" s="30"/>
      <c r="K99" s="30"/>
      <c r="L99" s="30"/>
      <c r="M99" s="30"/>
      <c r="N99" s="30"/>
      <c r="O99" s="30"/>
      <c r="P99" s="30"/>
      <c r="Q99" s="30"/>
      <c r="R99" s="30"/>
      <c r="S99" s="30"/>
      <c r="T99" s="30"/>
      <c r="U99" s="30"/>
    </row>
    <row r="100" spans="2:21" ht="21.95" customHeight="1" x14ac:dyDescent="0.2">
      <c r="B100" s="31" t="s">
        <v>72</v>
      </c>
      <c r="C100" s="33"/>
      <c r="D100" s="34"/>
      <c r="E100" s="34"/>
      <c r="F100" s="34"/>
      <c r="G100" s="34"/>
      <c r="H100" s="33"/>
      <c r="I100" s="34"/>
      <c r="J100" s="34"/>
      <c r="K100" s="34"/>
      <c r="L100" s="34"/>
      <c r="M100" s="34"/>
      <c r="N100" s="34"/>
      <c r="O100" s="34"/>
      <c r="P100" s="34"/>
      <c r="Q100" s="34"/>
      <c r="R100" s="34"/>
      <c r="S100" s="34"/>
      <c r="T100" s="34"/>
      <c r="U100" s="34"/>
    </row>
    <row r="101" spans="2:21" ht="24" x14ac:dyDescent="0.2">
      <c r="B101" s="35" t="s">
        <v>632</v>
      </c>
      <c r="C101" s="40" t="s">
        <v>157</v>
      </c>
      <c r="D101" s="49" t="s">
        <v>47</v>
      </c>
      <c r="E101" s="20">
        <f>U101</f>
        <v>13</v>
      </c>
      <c r="F101" s="48" t="s">
        <v>45</v>
      </c>
      <c r="G101" s="1" t="s">
        <v>297</v>
      </c>
      <c r="H101" s="9" t="s">
        <v>394</v>
      </c>
      <c r="I101" s="38"/>
      <c r="J101" s="38"/>
      <c r="K101" s="37">
        <v>3</v>
      </c>
      <c r="L101" s="38"/>
      <c r="M101" s="38"/>
      <c r="N101" s="39">
        <v>3</v>
      </c>
      <c r="O101" s="2"/>
      <c r="P101" s="2"/>
      <c r="Q101" s="39">
        <v>3</v>
      </c>
      <c r="R101" s="2"/>
      <c r="S101" s="2"/>
      <c r="T101" s="39">
        <v>4</v>
      </c>
      <c r="U101" s="15">
        <f>SUM(I101:T101)</f>
        <v>13</v>
      </c>
    </row>
    <row r="102" spans="2:21" ht="36" x14ac:dyDescent="0.2">
      <c r="B102" s="35" t="s">
        <v>633</v>
      </c>
      <c r="C102" s="19" t="s">
        <v>158</v>
      </c>
      <c r="D102" s="49" t="s">
        <v>47</v>
      </c>
      <c r="E102" s="20">
        <f>U102</f>
        <v>2</v>
      </c>
      <c r="F102" s="48" t="s">
        <v>45</v>
      </c>
      <c r="G102" s="1" t="s">
        <v>297</v>
      </c>
      <c r="H102" s="9" t="s">
        <v>395</v>
      </c>
      <c r="I102" s="38"/>
      <c r="J102" s="38"/>
      <c r="K102" s="38"/>
      <c r="L102" s="38"/>
      <c r="M102" s="38"/>
      <c r="N102" s="39">
        <v>1</v>
      </c>
      <c r="O102" s="2"/>
      <c r="P102" s="2"/>
      <c r="Q102" s="2"/>
      <c r="R102" s="2"/>
      <c r="S102" s="2"/>
      <c r="T102" s="39">
        <v>1</v>
      </c>
      <c r="U102" s="15">
        <f>SUM(I102:T102)</f>
        <v>2</v>
      </c>
    </row>
    <row r="103" spans="2:21" ht="21.95" customHeight="1" x14ac:dyDescent="0.2">
      <c r="B103" s="23" t="s">
        <v>159</v>
      </c>
      <c r="C103" s="24" t="s">
        <v>634</v>
      </c>
      <c r="D103" s="26"/>
      <c r="E103" s="26"/>
      <c r="F103" s="26"/>
      <c r="G103" s="26"/>
      <c r="H103" s="25"/>
      <c r="I103" s="26"/>
      <c r="J103" s="26"/>
      <c r="K103" s="26"/>
      <c r="L103" s="26"/>
      <c r="M103" s="26"/>
      <c r="N103" s="26"/>
      <c r="O103" s="26"/>
      <c r="P103" s="26"/>
      <c r="Q103" s="26"/>
      <c r="R103" s="26"/>
      <c r="S103" s="26"/>
      <c r="T103" s="26"/>
      <c r="U103" s="26"/>
    </row>
    <row r="104" spans="2:21" ht="21.95" customHeight="1" x14ac:dyDescent="0.2">
      <c r="B104" s="27" t="s">
        <v>18</v>
      </c>
      <c r="C104" s="29"/>
      <c r="D104" s="30"/>
      <c r="E104" s="30"/>
      <c r="F104" s="30"/>
      <c r="G104" s="30"/>
      <c r="H104" s="29"/>
      <c r="I104" s="30"/>
      <c r="J104" s="30"/>
      <c r="K104" s="30"/>
      <c r="L104" s="30"/>
      <c r="M104" s="30"/>
      <c r="N104" s="30"/>
      <c r="O104" s="30"/>
      <c r="P104" s="30"/>
      <c r="Q104" s="30"/>
      <c r="R104" s="30"/>
      <c r="S104" s="30"/>
      <c r="T104" s="30"/>
      <c r="U104" s="30"/>
    </row>
    <row r="105" spans="2:21" ht="21.95" customHeight="1" x14ac:dyDescent="0.2">
      <c r="B105" s="31" t="s">
        <v>19</v>
      </c>
      <c r="C105" s="33" t="s">
        <v>160</v>
      </c>
      <c r="D105" s="34"/>
      <c r="E105" s="34"/>
      <c r="F105" s="34"/>
      <c r="G105" s="34"/>
      <c r="H105" s="33"/>
      <c r="I105" s="34"/>
      <c r="J105" s="34"/>
      <c r="K105" s="34"/>
      <c r="L105" s="34"/>
      <c r="M105" s="34"/>
      <c r="N105" s="34"/>
      <c r="O105" s="34"/>
      <c r="P105" s="34"/>
      <c r="Q105" s="34"/>
      <c r="R105" s="34"/>
      <c r="S105" s="34"/>
      <c r="T105" s="34"/>
      <c r="U105" s="34"/>
    </row>
    <row r="106" spans="2:21" ht="24" x14ac:dyDescent="0.2">
      <c r="B106" s="41" t="s">
        <v>161</v>
      </c>
      <c r="C106" s="18" t="s">
        <v>162</v>
      </c>
      <c r="D106" s="48" t="s">
        <v>22</v>
      </c>
      <c r="E106" s="20">
        <f>U106</f>
        <v>21</v>
      </c>
      <c r="F106" s="48" t="s">
        <v>23</v>
      </c>
      <c r="G106" s="48" t="s">
        <v>24</v>
      </c>
      <c r="H106" s="10" t="s">
        <v>163</v>
      </c>
      <c r="I106" s="2"/>
      <c r="J106" s="2"/>
      <c r="K106" s="42">
        <v>5</v>
      </c>
      <c r="L106" s="2"/>
      <c r="M106" s="2"/>
      <c r="N106" s="42">
        <v>6</v>
      </c>
      <c r="O106" s="2"/>
      <c r="P106" s="2"/>
      <c r="Q106" s="42">
        <v>5</v>
      </c>
      <c r="R106" s="2"/>
      <c r="S106" s="2"/>
      <c r="T106" s="42">
        <v>5</v>
      </c>
      <c r="U106" s="43">
        <f t="shared" ref="U106:U111" si="15">SUM(I106:T106)</f>
        <v>21</v>
      </c>
    </row>
    <row r="107" spans="2:21" ht="24" x14ac:dyDescent="0.2">
      <c r="B107" s="41" t="s">
        <v>164</v>
      </c>
      <c r="C107" s="18" t="s">
        <v>165</v>
      </c>
      <c r="D107" s="48" t="s">
        <v>22</v>
      </c>
      <c r="E107" s="20">
        <f t="shared" ref="E107:E111" si="16">U107</f>
        <v>5</v>
      </c>
      <c r="F107" s="48" t="s">
        <v>166</v>
      </c>
      <c r="G107" s="48" t="s">
        <v>24</v>
      </c>
      <c r="H107" s="10" t="s">
        <v>167</v>
      </c>
      <c r="P107" s="44">
        <v>5</v>
      </c>
      <c r="Q107" s="2"/>
      <c r="R107" s="2"/>
      <c r="S107" s="2"/>
      <c r="T107" s="2"/>
      <c r="U107" s="43">
        <f t="shared" si="15"/>
        <v>5</v>
      </c>
    </row>
    <row r="108" spans="2:21" ht="48" x14ac:dyDescent="0.2">
      <c r="B108" s="41" t="s">
        <v>168</v>
      </c>
      <c r="C108" s="18" t="s">
        <v>169</v>
      </c>
      <c r="D108" s="48" t="s">
        <v>22</v>
      </c>
      <c r="E108" s="20">
        <f t="shared" si="16"/>
        <v>4</v>
      </c>
      <c r="F108" s="48" t="s">
        <v>23</v>
      </c>
      <c r="G108" s="48" t="s">
        <v>24</v>
      </c>
      <c r="H108" s="10" t="s">
        <v>170</v>
      </c>
      <c r="M108" s="44">
        <v>3</v>
      </c>
      <c r="Q108" s="2"/>
      <c r="R108" s="42">
        <v>1</v>
      </c>
      <c r="S108" s="2"/>
      <c r="T108" s="2"/>
      <c r="U108" s="43">
        <f t="shared" si="15"/>
        <v>4</v>
      </c>
    </row>
    <row r="109" spans="2:21" ht="36" x14ac:dyDescent="0.2">
      <c r="B109" s="41" t="s">
        <v>171</v>
      </c>
      <c r="C109" s="18" t="s">
        <v>172</v>
      </c>
      <c r="D109" s="48" t="s">
        <v>22</v>
      </c>
      <c r="E109" s="20">
        <f t="shared" si="16"/>
        <v>5</v>
      </c>
      <c r="F109" s="48" t="s">
        <v>23</v>
      </c>
      <c r="G109" s="48" t="s">
        <v>24</v>
      </c>
      <c r="H109" s="10" t="s">
        <v>173</v>
      </c>
      <c r="N109" s="2"/>
      <c r="O109" s="42">
        <v>5</v>
      </c>
      <c r="U109" s="43">
        <f t="shared" si="15"/>
        <v>5</v>
      </c>
    </row>
    <row r="110" spans="2:21" ht="24" x14ac:dyDescent="0.2">
      <c r="B110" s="41" t="s">
        <v>174</v>
      </c>
      <c r="C110" s="18" t="s">
        <v>175</v>
      </c>
      <c r="D110" s="48" t="s">
        <v>22</v>
      </c>
      <c r="E110" s="20">
        <f t="shared" si="16"/>
        <v>6</v>
      </c>
      <c r="F110" s="48" t="s">
        <v>23</v>
      </c>
      <c r="G110" s="48" t="s">
        <v>24</v>
      </c>
      <c r="H110" s="10" t="s">
        <v>176</v>
      </c>
      <c r="T110" s="44">
        <v>6</v>
      </c>
      <c r="U110" s="43">
        <f t="shared" si="15"/>
        <v>6</v>
      </c>
    </row>
    <row r="111" spans="2:21" ht="24" x14ac:dyDescent="0.2">
      <c r="B111" s="41" t="s">
        <v>177</v>
      </c>
      <c r="C111" s="18" t="s">
        <v>178</v>
      </c>
      <c r="D111" s="48" t="s">
        <v>22</v>
      </c>
      <c r="E111" s="20">
        <f t="shared" si="16"/>
        <v>16</v>
      </c>
      <c r="F111" s="48" t="s">
        <v>23</v>
      </c>
      <c r="G111" s="48" t="s">
        <v>24</v>
      </c>
      <c r="H111" s="10" t="s">
        <v>179</v>
      </c>
      <c r="I111" s="2"/>
      <c r="J111" s="2"/>
      <c r="K111" s="42">
        <v>6</v>
      </c>
      <c r="L111" s="2"/>
      <c r="M111" s="2"/>
      <c r="O111" s="44">
        <v>5</v>
      </c>
      <c r="T111" s="44">
        <v>5</v>
      </c>
      <c r="U111" s="43">
        <f t="shared" si="15"/>
        <v>16</v>
      </c>
    </row>
    <row r="112" spans="2:21" ht="21.95" customHeight="1" x14ac:dyDescent="0.2">
      <c r="B112" s="31" t="s">
        <v>51</v>
      </c>
      <c r="C112" s="33" t="s">
        <v>52</v>
      </c>
      <c r="D112" s="34"/>
      <c r="E112" s="34"/>
      <c r="F112" s="34"/>
      <c r="G112" s="34"/>
      <c r="H112" s="33"/>
      <c r="I112" s="34"/>
      <c r="J112" s="34"/>
      <c r="K112" s="34"/>
      <c r="L112" s="34"/>
      <c r="M112" s="34"/>
      <c r="N112" s="34"/>
      <c r="O112" s="34"/>
      <c r="P112" s="34"/>
      <c r="Q112" s="34"/>
      <c r="R112" s="34"/>
      <c r="S112" s="34"/>
      <c r="T112" s="34"/>
      <c r="U112" s="34"/>
    </row>
    <row r="113" spans="2:21" ht="36" x14ac:dyDescent="0.2">
      <c r="B113" s="41" t="s">
        <v>182</v>
      </c>
      <c r="C113" s="18" t="s">
        <v>183</v>
      </c>
      <c r="D113" s="48" t="s">
        <v>184</v>
      </c>
      <c r="E113" s="20">
        <f>U113</f>
        <v>6</v>
      </c>
      <c r="F113" s="48" t="s">
        <v>54</v>
      </c>
      <c r="G113" s="48" t="s">
        <v>60</v>
      </c>
      <c r="H113" s="10" t="s">
        <v>185</v>
      </c>
      <c r="K113" s="2">
        <v>1</v>
      </c>
      <c r="L113" s="42">
        <v>1</v>
      </c>
      <c r="M113" s="2"/>
      <c r="N113" s="42">
        <v>1</v>
      </c>
      <c r="O113" s="42">
        <v>1</v>
      </c>
      <c r="P113" s="2"/>
      <c r="Q113" s="42">
        <v>2</v>
      </c>
      <c r="R113" s="74"/>
      <c r="U113" s="43">
        <f>SUM(I113:T113)</f>
        <v>6</v>
      </c>
    </row>
    <row r="114" spans="2:21" ht="36" x14ac:dyDescent="0.2">
      <c r="B114" s="41" t="s">
        <v>186</v>
      </c>
      <c r="C114" s="18" t="s">
        <v>187</v>
      </c>
      <c r="D114" s="48" t="s">
        <v>188</v>
      </c>
      <c r="E114" s="20">
        <f>U114</f>
        <v>1</v>
      </c>
      <c r="F114" s="48" t="s">
        <v>189</v>
      </c>
      <c r="G114" s="48" t="s">
        <v>60</v>
      </c>
      <c r="H114" s="10" t="s">
        <v>185</v>
      </c>
      <c r="K114" s="2"/>
      <c r="L114" s="2"/>
      <c r="M114" s="2"/>
      <c r="N114" s="2"/>
      <c r="O114" s="42">
        <v>1</v>
      </c>
      <c r="Q114" s="2"/>
      <c r="R114" s="2"/>
      <c r="U114" s="43">
        <f>SUM(I114:T114)</f>
        <v>1</v>
      </c>
    </row>
    <row r="115" spans="2:21" ht="24" x14ac:dyDescent="0.2">
      <c r="B115" s="118" t="s">
        <v>400</v>
      </c>
      <c r="C115" s="18" t="s">
        <v>180</v>
      </c>
      <c r="D115" s="48" t="s">
        <v>141</v>
      </c>
      <c r="E115" s="20">
        <f>U115</f>
        <v>22</v>
      </c>
      <c r="F115" s="48" t="s">
        <v>166</v>
      </c>
      <c r="G115" s="48" t="s">
        <v>60</v>
      </c>
      <c r="H115" s="10" t="s">
        <v>181</v>
      </c>
      <c r="I115" s="2"/>
      <c r="J115" s="42">
        <v>5</v>
      </c>
      <c r="K115" s="74"/>
      <c r="L115" s="2"/>
      <c r="M115" s="42">
        <v>6</v>
      </c>
      <c r="N115" s="2"/>
      <c r="O115" s="2"/>
      <c r="P115" s="42">
        <v>5</v>
      </c>
      <c r="Q115" s="2"/>
      <c r="R115" s="2"/>
      <c r="S115" s="42">
        <v>6</v>
      </c>
      <c r="U115" s="43">
        <f>SUM(I115:T115)</f>
        <v>22</v>
      </c>
    </row>
    <row r="116" spans="2:21" ht="21.95" customHeight="1" x14ac:dyDescent="0.2">
      <c r="B116" s="31" t="s">
        <v>67</v>
      </c>
      <c r="C116" s="33" t="s">
        <v>190</v>
      </c>
      <c r="D116" s="34"/>
      <c r="E116" s="34"/>
      <c r="F116" s="34"/>
      <c r="G116" s="34"/>
      <c r="H116" s="33"/>
      <c r="I116" s="34"/>
      <c r="J116" s="34"/>
      <c r="K116" s="34"/>
      <c r="L116" s="34"/>
      <c r="M116" s="34"/>
      <c r="N116" s="34"/>
      <c r="O116" s="34"/>
      <c r="P116" s="34"/>
      <c r="Q116" s="34"/>
      <c r="R116" s="34"/>
      <c r="S116" s="34"/>
      <c r="T116" s="34"/>
      <c r="U116" s="34"/>
    </row>
    <row r="117" spans="2:21" ht="24" x14ac:dyDescent="0.2">
      <c r="B117" s="118" t="s">
        <v>191</v>
      </c>
      <c r="C117" s="18" t="s">
        <v>192</v>
      </c>
      <c r="D117" s="48" t="s">
        <v>193</v>
      </c>
      <c r="E117" s="20">
        <f>U117</f>
        <v>2</v>
      </c>
      <c r="F117" s="48" t="s">
        <v>69</v>
      </c>
      <c r="G117" s="48" t="s">
        <v>55</v>
      </c>
      <c r="H117" s="10" t="s">
        <v>194</v>
      </c>
      <c r="P117" s="2"/>
      <c r="Q117" s="2"/>
      <c r="R117" s="42">
        <v>2</v>
      </c>
      <c r="U117" s="43">
        <f>SUM(I117:T117)</f>
        <v>2</v>
      </c>
    </row>
    <row r="118" spans="2:21" ht="21.95" customHeight="1" x14ac:dyDescent="0.2">
      <c r="B118" s="31" t="s">
        <v>78</v>
      </c>
      <c r="C118" s="33" t="s">
        <v>145</v>
      </c>
      <c r="D118" s="34"/>
      <c r="E118" s="34"/>
      <c r="F118" s="34"/>
      <c r="G118" s="34"/>
      <c r="H118" s="33"/>
      <c r="I118" s="34"/>
      <c r="J118" s="34"/>
      <c r="K118" s="34"/>
      <c r="L118" s="34"/>
      <c r="M118" s="34"/>
      <c r="N118" s="34"/>
      <c r="O118" s="34"/>
      <c r="P118" s="34"/>
      <c r="Q118" s="34"/>
      <c r="R118" s="34"/>
      <c r="S118" s="34"/>
      <c r="T118" s="34"/>
      <c r="U118" s="34"/>
    </row>
    <row r="119" spans="2:21" ht="39" customHeight="1" x14ac:dyDescent="0.2">
      <c r="B119" s="41" t="s">
        <v>195</v>
      </c>
      <c r="C119" s="18" t="s">
        <v>196</v>
      </c>
      <c r="D119" s="48" t="s">
        <v>197</v>
      </c>
      <c r="E119" s="20">
        <f>U119</f>
        <v>1</v>
      </c>
      <c r="F119" s="48" t="s">
        <v>69</v>
      </c>
      <c r="G119" s="48" t="s">
        <v>70</v>
      </c>
      <c r="H119" s="10" t="s">
        <v>198</v>
      </c>
      <c r="M119" s="2"/>
      <c r="N119" s="2"/>
      <c r="O119" s="42">
        <v>1</v>
      </c>
      <c r="U119" s="43">
        <f>SUM(I119:T119)</f>
        <v>1</v>
      </c>
    </row>
    <row r="120" spans="2:21" ht="33" customHeight="1" x14ac:dyDescent="0.2">
      <c r="B120" s="118" t="s">
        <v>199</v>
      </c>
      <c r="C120" s="18" t="s">
        <v>200</v>
      </c>
      <c r="D120" s="48" t="s">
        <v>197</v>
      </c>
      <c r="E120" s="20">
        <f>U120</f>
        <v>2</v>
      </c>
      <c r="F120" s="48" t="s">
        <v>69</v>
      </c>
      <c r="G120" s="48" t="s">
        <v>70</v>
      </c>
      <c r="H120" s="10" t="s">
        <v>201</v>
      </c>
      <c r="M120" s="2"/>
      <c r="N120" s="2"/>
      <c r="O120" s="2"/>
      <c r="P120" s="2"/>
      <c r="Q120" s="42">
        <v>2</v>
      </c>
      <c r="U120" s="43">
        <f>SUM(I120:T120)</f>
        <v>2</v>
      </c>
    </row>
    <row r="121" spans="2:21" ht="21.95" customHeight="1" x14ac:dyDescent="0.2">
      <c r="B121" s="31" t="s">
        <v>90</v>
      </c>
      <c r="C121" s="33" t="s">
        <v>150</v>
      </c>
      <c r="D121" s="34"/>
      <c r="E121" s="34"/>
      <c r="F121" s="34"/>
      <c r="G121" s="34"/>
      <c r="H121" s="33"/>
      <c r="I121" s="34"/>
      <c r="J121" s="34"/>
      <c r="K121" s="34"/>
      <c r="L121" s="34"/>
      <c r="M121" s="34"/>
      <c r="N121" s="34"/>
      <c r="O121" s="34"/>
      <c r="P121" s="34"/>
      <c r="Q121" s="34"/>
      <c r="R121" s="34"/>
      <c r="S121" s="34"/>
      <c r="T121" s="34"/>
      <c r="U121" s="34"/>
    </row>
    <row r="122" spans="2:21" ht="21.95" customHeight="1" x14ac:dyDescent="0.2">
      <c r="B122" s="41" t="s">
        <v>202</v>
      </c>
      <c r="C122" s="9" t="s">
        <v>152</v>
      </c>
      <c r="D122" s="48" t="s">
        <v>203</v>
      </c>
      <c r="E122" s="20">
        <f>U122</f>
        <v>1</v>
      </c>
      <c r="F122" s="48" t="s">
        <v>70</v>
      </c>
      <c r="G122" s="48" t="s">
        <v>70</v>
      </c>
      <c r="H122" s="9" t="s">
        <v>396</v>
      </c>
      <c r="M122" s="2"/>
      <c r="N122" s="2"/>
      <c r="O122" s="2"/>
      <c r="P122" s="2"/>
      <c r="Q122" s="2"/>
      <c r="R122" s="2"/>
      <c r="S122" s="2"/>
      <c r="T122" s="44">
        <v>1</v>
      </c>
      <c r="U122" s="43">
        <f>SUM(I122:T122)</f>
        <v>1</v>
      </c>
    </row>
    <row r="123" spans="2:21" ht="21.95" customHeight="1" x14ac:dyDescent="0.2">
      <c r="B123" s="41" t="s">
        <v>205</v>
      </c>
      <c r="C123" s="66" t="s">
        <v>155</v>
      </c>
      <c r="D123" s="48" t="s">
        <v>203</v>
      </c>
      <c r="E123" s="20">
        <f>U123</f>
        <v>2</v>
      </c>
      <c r="F123" s="48" t="s">
        <v>70</v>
      </c>
      <c r="G123" s="48" t="s">
        <v>382</v>
      </c>
      <c r="H123" s="66" t="s">
        <v>393</v>
      </c>
      <c r="L123" s="2"/>
      <c r="M123" s="2"/>
      <c r="N123" s="42">
        <v>1</v>
      </c>
      <c r="O123" s="2"/>
      <c r="P123" s="2"/>
      <c r="Q123" s="2"/>
      <c r="R123" s="2"/>
      <c r="S123" s="42">
        <v>1</v>
      </c>
      <c r="T123" s="2"/>
      <c r="U123" s="43">
        <f>SUM(I123:T123)</f>
        <v>2</v>
      </c>
    </row>
    <row r="124" spans="2:21" ht="21.95" customHeight="1" x14ac:dyDescent="0.2">
      <c r="B124" s="45" t="s">
        <v>71</v>
      </c>
      <c r="C124" s="46"/>
      <c r="D124" s="30"/>
      <c r="E124" s="30"/>
      <c r="F124" s="30"/>
      <c r="G124" s="30"/>
      <c r="H124" s="29"/>
      <c r="I124" s="30"/>
      <c r="J124" s="30"/>
      <c r="K124" s="30"/>
      <c r="L124" s="30"/>
      <c r="M124" s="30"/>
      <c r="N124" s="30"/>
      <c r="O124" s="30"/>
      <c r="P124" s="30"/>
      <c r="Q124" s="30"/>
      <c r="R124" s="30"/>
      <c r="S124" s="30"/>
      <c r="T124" s="30"/>
      <c r="U124" s="47"/>
    </row>
    <row r="125" spans="2:21" ht="21.95" customHeight="1" x14ac:dyDescent="0.2">
      <c r="B125" s="31" t="s">
        <v>206</v>
      </c>
      <c r="C125" s="33"/>
      <c r="D125" s="34"/>
      <c r="E125" s="34"/>
      <c r="F125" s="34"/>
      <c r="G125" s="34"/>
      <c r="H125" s="33"/>
      <c r="I125" s="34"/>
      <c r="J125" s="34"/>
      <c r="K125" s="34"/>
      <c r="L125" s="34"/>
      <c r="M125" s="34"/>
      <c r="N125" s="34"/>
      <c r="O125" s="34"/>
      <c r="P125" s="34"/>
      <c r="Q125" s="34"/>
      <c r="R125" s="34"/>
      <c r="S125" s="34"/>
      <c r="T125" s="34"/>
      <c r="U125" s="34"/>
    </row>
    <row r="126" spans="2:21" ht="60" x14ac:dyDescent="0.2">
      <c r="B126" s="41" t="s">
        <v>635</v>
      </c>
      <c r="C126" s="18" t="s">
        <v>207</v>
      </c>
      <c r="D126" s="48" t="s">
        <v>47</v>
      </c>
      <c r="E126" s="20">
        <f>U126</f>
        <v>4</v>
      </c>
      <c r="F126" s="48" t="s">
        <v>45</v>
      </c>
      <c r="G126" s="1" t="s">
        <v>55</v>
      </c>
      <c r="H126" s="10" t="s">
        <v>208</v>
      </c>
      <c r="J126" s="44">
        <v>1</v>
      </c>
      <c r="M126" s="44">
        <v>1</v>
      </c>
      <c r="P126" s="44">
        <v>1</v>
      </c>
      <c r="S126" s="44">
        <v>1</v>
      </c>
      <c r="U126" s="43">
        <f>SUM(I126:T126)</f>
        <v>4</v>
      </c>
    </row>
    <row r="127" spans="2:21" ht="21.95" customHeight="1" x14ac:dyDescent="0.2">
      <c r="B127" s="31" t="s">
        <v>209</v>
      </c>
      <c r="C127" s="33"/>
      <c r="D127" s="34"/>
      <c r="E127" s="34"/>
      <c r="F127" s="34"/>
      <c r="G127" s="34"/>
      <c r="H127" s="33"/>
      <c r="I127" s="34"/>
      <c r="J127" s="34"/>
      <c r="K127" s="34"/>
      <c r="L127" s="34"/>
      <c r="M127" s="34"/>
      <c r="N127" s="34"/>
      <c r="O127" s="34"/>
      <c r="P127" s="34"/>
      <c r="Q127" s="34"/>
      <c r="R127" s="34"/>
      <c r="S127" s="34"/>
      <c r="T127" s="34"/>
      <c r="U127" s="34"/>
    </row>
    <row r="128" spans="2:21" ht="60" x14ac:dyDescent="0.2">
      <c r="B128" s="41" t="s">
        <v>636</v>
      </c>
      <c r="C128" s="18" t="s">
        <v>210</v>
      </c>
      <c r="D128" s="48" t="s">
        <v>47</v>
      </c>
      <c r="E128" s="20">
        <f>U128</f>
        <v>1</v>
      </c>
      <c r="F128" s="48" t="s">
        <v>45</v>
      </c>
      <c r="G128" s="1" t="s">
        <v>55</v>
      </c>
      <c r="H128" s="10" t="s">
        <v>208</v>
      </c>
      <c r="K128" s="44">
        <v>1</v>
      </c>
      <c r="U128" s="43">
        <f>SUM(I128:T128)</f>
        <v>1</v>
      </c>
    </row>
    <row r="129" spans="2:21" ht="21.95" customHeight="1" x14ac:dyDescent="0.2">
      <c r="B129" s="23" t="s">
        <v>211</v>
      </c>
      <c r="C129" s="24" t="s">
        <v>339</v>
      </c>
      <c r="D129" s="26"/>
      <c r="E129" s="26"/>
      <c r="F129" s="26"/>
      <c r="G129" s="26"/>
      <c r="H129" s="25"/>
      <c r="I129" s="26"/>
      <c r="J129" s="26"/>
      <c r="K129" s="26"/>
      <c r="L129" s="26"/>
      <c r="M129" s="26"/>
      <c r="N129" s="26"/>
      <c r="O129" s="26"/>
      <c r="P129" s="26"/>
      <c r="Q129" s="26"/>
      <c r="R129" s="26"/>
      <c r="S129" s="26"/>
      <c r="T129" s="26"/>
      <c r="U129" s="26"/>
    </row>
    <row r="130" spans="2:21" ht="21.95" customHeight="1" x14ac:dyDescent="0.2">
      <c r="B130" s="27" t="s">
        <v>18</v>
      </c>
      <c r="C130" s="29"/>
      <c r="D130" s="30"/>
      <c r="E130" s="30"/>
      <c r="F130" s="30"/>
      <c r="G130" s="30"/>
      <c r="H130" s="29"/>
      <c r="I130" s="30"/>
      <c r="J130" s="30"/>
      <c r="K130" s="30"/>
      <c r="L130" s="30"/>
      <c r="M130" s="30"/>
      <c r="N130" s="30"/>
      <c r="O130" s="30"/>
      <c r="P130" s="30"/>
      <c r="Q130" s="30"/>
      <c r="R130" s="30"/>
      <c r="S130" s="30"/>
      <c r="T130" s="30"/>
      <c r="U130" s="30"/>
    </row>
    <row r="131" spans="2:21" ht="21.95" customHeight="1" x14ac:dyDescent="0.2">
      <c r="B131" s="31" t="s">
        <v>19</v>
      </c>
      <c r="C131" s="33" t="s">
        <v>20</v>
      </c>
      <c r="D131" s="34"/>
      <c r="E131" s="34"/>
      <c r="F131" s="34"/>
      <c r="G131" s="34"/>
      <c r="H131" s="33"/>
      <c r="I131" s="34"/>
      <c r="J131" s="34"/>
      <c r="K131" s="34"/>
      <c r="L131" s="34"/>
      <c r="M131" s="34"/>
      <c r="N131" s="34"/>
      <c r="O131" s="34"/>
      <c r="P131" s="34"/>
      <c r="Q131" s="34"/>
      <c r="R131" s="34"/>
      <c r="S131" s="34"/>
      <c r="T131" s="34"/>
      <c r="U131" s="34"/>
    </row>
    <row r="132" spans="2:21" ht="36" x14ac:dyDescent="0.2">
      <c r="B132" s="35" t="s">
        <v>213</v>
      </c>
      <c r="C132" s="9" t="s">
        <v>397</v>
      </c>
      <c r="D132" s="48" t="s">
        <v>214</v>
      </c>
      <c r="E132" s="20">
        <f t="shared" ref="E132:E134" si="17">U132</f>
        <v>10</v>
      </c>
      <c r="F132" s="1" t="s">
        <v>79</v>
      </c>
      <c r="G132" s="48" t="s">
        <v>55</v>
      </c>
      <c r="H132" s="110" t="s">
        <v>215</v>
      </c>
      <c r="I132" s="2"/>
      <c r="J132" s="2"/>
      <c r="K132" s="39">
        <v>1</v>
      </c>
      <c r="L132" s="14">
        <v>2</v>
      </c>
      <c r="N132" s="14">
        <v>1</v>
      </c>
      <c r="O132" s="14">
        <v>2</v>
      </c>
      <c r="Q132" s="14">
        <v>1</v>
      </c>
      <c r="R132" s="14">
        <v>2</v>
      </c>
      <c r="S132" s="14">
        <v>1</v>
      </c>
      <c r="U132" s="15">
        <f>SUM(I132:T132)</f>
        <v>10</v>
      </c>
    </row>
    <row r="133" spans="2:21" ht="48" x14ac:dyDescent="0.2">
      <c r="B133" s="35" t="s">
        <v>216</v>
      </c>
      <c r="C133" s="19" t="s">
        <v>217</v>
      </c>
      <c r="D133" s="1" t="s">
        <v>22</v>
      </c>
      <c r="E133" s="20">
        <f t="shared" si="17"/>
        <v>10</v>
      </c>
      <c r="F133" s="48" t="s">
        <v>23</v>
      </c>
      <c r="G133" s="1" t="s">
        <v>218</v>
      </c>
      <c r="H133" s="9" t="s">
        <v>219</v>
      </c>
      <c r="J133" s="77"/>
      <c r="K133" s="14">
        <v>2</v>
      </c>
      <c r="L133" s="13">
        <v>1</v>
      </c>
      <c r="M133" s="14">
        <v>1</v>
      </c>
      <c r="O133" s="77">
        <v>1</v>
      </c>
      <c r="P133" s="14">
        <v>1</v>
      </c>
      <c r="Q133" s="14">
        <v>1</v>
      </c>
      <c r="R133" s="14">
        <v>1</v>
      </c>
      <c r="S133" s="14">
        <v>2</v>
      </c>
      <c r="U133" s="15">
        <f>SUM(I133:T133)</f>
        <v>10</v>
      </c>
    </row>
    <row r="134" spans="2:21" ht="24" x14ac:dyDescent="0.2">
      <c r="B134" s="98" t="s">
        <v>332</v>
      </c>
      <c r="C134" s="19" t="s">
        <v>637</v>
      </c>
      <c r="D134" s="49" t="s">
        <v>403</v>
      </c>
      <c r="E134" s="20">
        <f t="shared" si="17"/>
        <v>4</v>
      </c>
      <c r="F134" s="48" t="s">
        <v>23</v>
      </c>
      <c r="G134" s="49" t="s">
        <v>24</v>
      </c>
      <c r="H134" s="9" t="s">
        <v>638</v>
      </c>
      <c r="I134" s="2"/>
      <c r="J134" s="2"/>
      <c r="K134" s="74"/>
      <c r="L134" s="2">
        <v>1</v>
      </c>
      <c r="M134" s="2"/>
      <c r="N134" s="39">
        <v>1</v>
      </c>
      <c r="O134" s="74"/>
      <c r="P134" s="2"/>
      <c r="Q134" s="39">
        <v>1</v>
      </c>
      <c r="R134" s="39">
        <v>1</v>
      </c>
      <c r="S134" s="2"/>
      <c r="T134" s="2"/>
      <c r="U134" s="15">
        <f>SUM(I134:T134)</f>
        <v>4</v>
      </c>
    </row>
    <row r="135" spans="2:21" ht="21.95" customHeight="1" x14ac:dyDescent="0.2">
      <c r="B135" s="31" t="s">
        <v>51</v>
      </c>
      <c r="C135" s="33" t="s">
        <v>52</v>
      </c>
      <c r="D135" s="34"/>
      <c r="E135" s="34"/>
      <c r="F135" s="34"/>
      <c r="G135" s="34"/>
      <c r="H135" s="33"/>
      <c r="I135" s="34"/>
      <c r="J135" s="34"/>
      <c r="K135" s="34"/>
      <c r="L135" s="34"/>
      <c r="M135" s="34"/>
      <c r="N135" s="34"/>
      <c r="O135" s="34"/>
      <c r="P135" s="34"/>
      <c r="Q135" s="34"/>
      <c r="R135" s="34"/>
      <c r="S135" s="34"/>
      <c r="T135" s="34"/>
      <c r="U135" s="34"/>
    </row>
    <row r="136" spans="2:21" ht="36" x14ac:dyDescent="0.2">
      <c r="B136" s="35" t="s">
        <v>220</v>
      </c>
      <c r="C136" s="12" t="s">
        <v>221</v>
      </c>
      <c r="D136" s="48" t="s">
        <v>222</v>
      </c>
      <c r="E136" s="20">
        <f t="shared" ref="E136:E140" si="18">U136</f>
        <v>3</v>
      </c>
      <c r="F136" s="48" t="s">
        <v>66</v>
      </c>
      <c r="G136" s="48" t="s">
        <v>55</v>
      </c>
      <c r="H136" s="10" t="s">
        <v>223</v>
      </c>
      <c r="I136" s="2"/>
      <c r="J136" s="74"/>
      <c r="K136" s="2">
        <v>1</v>
      </c>
      <c r="O136" s="14">
        <v>1</v>
      </c>
      <c r="R136" s="14">
        <v>1</v>
      </c>
      <c r="U136" s="15">
        <f>SUM(I136:T136)</f>
        <v>3</v>
      </c>
    </row>
    <row r="137" spans="2:21" ht="24" x14ac:dyDescent="0.2">
      <c r="B137" s="35" t="s">
        <v>224</v>
      </c>
      <c r="C137" s="12" t="s">
        <v>671</v>
      </c>
      <c r="D137" s="1" t="s">
        <v>225</v>
      </c>
      <c r="E137" s="20">
        <f t="shared" si="18"/>
        <v>6</v>
      </c>
      <c r="F137" s="48" t="s">
        <v>54</v>
      </c>
      <c r="G137" s="48" t="s">
        <v>55</v>
      </c>
      <c r="H137" s="9" t="s">
        <v>226</v>
      </c>
      <c r="J137" s="77"/>
      <c r="K137" s="77"/>
      <c r="L137" s="13">
        <v>1</v>
      </c>
      <c r="M137" s="77"/>
      <c r="N137" s="13">
        <v>1</v>
      </c>
      <c r="O137" s="77"/>
      <c r="P137" s="13">
        <v>1</v>
      </c>
      <c r="Q137" s="14">
        <v>1</v>
      </c>
      <c r="R137" s="14">
        <v>1</v>
      </c>
      <c r="S137" s="13">
        <v>1</v>
      </c>
      <c r="U137" s="15">
        <f>SUM(I137:T137)</f>
        <v>6</v>
      </c>
    </row>
    <row r="138" spans="2:21" ht="36" x14ac:dyDescent="0.2">
      <c r="B138" s="35" t="s">
        <v>227</v>
      </c>
      <c r="C138" s="12" t="s">
        <v>228</v>
      </c>
      <c r="D138" s="1" t="s">
        <v>49</v>
      </c>
      <c r="E138" s="20">
        <f t="shared" si="18"/>
        <v>6</v>
      </c>
      <c r="F138" s="48" t="s">
        <v>50</v>
      </c>
      <c r="G138" s="48" t="s">
        <v>55</v>
      </c>
      <c r="H138" s="9" t="s">
        <v>229</v>
      </c>
      <c r="K138" s="77"/>
      <c r="L138" s="14">
        <v>1</v>
      </c>
      <c r="M138" s="77"/>
      <c r="N138" s="14">
        <v>1</v>
      </c>
      <c r="O138" s="77"/>
      <c r="P138" s="14">
        <v>1</v>
      </c>
      <c r="Q138" s="77"/>
      <c r="R138" s="14">
        <v>2</v>
      </c>
      <c r="S138" s="14">
        <v>1</v>
      </c>
      <c r="U138" s="15">
        <f>SUM(I138:T138)</f>
        <v>6</v>
      </c>
    </row>
    <row r="139" spans="2:21" ht="48" x14ac:dyDescent="0.2">
      <c r="B139" s="35" t="s">
        <v>230</v>
      </c>
      <c r="C139" s="12" t="s">
        <v>231</v>
      </c>
      <c r="D139" s="1" t="s">
        <v>49</v>
      </c>
      <c r="E139" s="20">
        <f t="shared" si="18"/>
        <v>6</v>
      </c>
      <c r="F139" s="48" t="s">
        <v>50</v>
      </c>
      <c r="G139" s="48" t="s">
        <v>55</v>
      </c>
      <c r="H139" s="9" t="s">
        <v>232</v>
      </c>
      <c r="K139" s="77"/>
      <c r="L139" s="77">
        <v>1</v>
      </c>
      <c r="M139" s="77"/>
      <c r="N139" s="14">
        <v>1</v>
      </c>
      <c r="O139" s="14">
        <v>1</v>
      </c>
      <c r="P139" s="14">
        <v>1</v>
      </c>
      <c r="Q139" s="77"/>
      <c r="R139" s="14">
        <v>1</v>
      </c>
      <c r="S139" s="14">
        <v>1</v>
      </c>
      <c r="U139" s="15">
        <f>SUM(I139:T139)</f>
        <v>6</v>
      </c>
    </row>
    <row r="140" spans="2:21" ht="36" x14ac:dyDescent="0.2">
      <c r="B140" s="35" t="s">
        <v>333</v>
      </c>
      <c r="C140" s="12" t="s">
        <v>404</v>
      </c>
      <c r="D140" s="1" t="s">
        <v>49</v>
      </c>
      <c r="E140" s="20">
        <f t="shared" si="18"/>
        <v>2</v>
      </c>
      <c r="F140" s="48" t="s">
        <v>50</v>
      </c>
      <c r="G140" s="48" t="s">
        <v>55</v>
      </c>
      <c r="H140" s="9" t="s">
        <v>246</v>
      </c>
      <c r="I140" s="2"/>
      <c r="J140" s="2"/>
      <c r="K140" s="2"/>
      <c r="L140" s="74"/>
      <c r="M140" s="2"/>
      <c r="N140" s="2">
        <v>1</v>
      </c>
      <c r="O140" s="2"/>
      <c r="P140" s="2"/>
      <c r="Q140" s="2">
        <v>1</v>
      </c>
      <c r="R140" s="2"/>
      <c r="S140" s="74"/>
      <c r="T140" s="2"/>
      <c r="U140" s="15">
        <f>SUM(I140:T140)</f>
        <v>2</v>
      </c>
    </row>
    <row r="141" spans="2:21" ht="21.95" customHeight="1" x14ac:dyDescent="0.2">
      <c r="B141" s="31" t="s">
        <v>67</v>
      </c>
      <c r="C141" s="33" t="s">
        <v>233</v>
      </c>
      <c r="D141" s="34"/>
      <c r="E141" s="34"/>
      <c r="F141" s="34"/>
      <c r="G141" s="34"/>
      <c r="H141" s="33"/>
      <c r="I141" s="34"/>
      <c r="J141" s="34"/>
      <c r="K141" s="34"/>
      <c r="L141" s="34"/>
      <c r="M141" s="34"/>
      <c r="N141" s="34"/>
      <c r="O141" s="34"/>
      <c r="P141" s="34"/>
      <c r="Q141" s="34"/>
      <c r="R141" s="34"/>
      <c r="S141" s="34"/>
      <c r="T141" s="34"/>
      <c r="U141" s="34"/>
    </row>
    <row r="142" spans="2:21" ht="24" x14ac:dyDescent="0.2">
      <c r="B142" s="35" t="s">
        <v>234</v>
      </c>
      <c r="C142" s="10" t="s">
        <v>235</v>
      </c>
      <c r="D142" s="49" t="s">
        <v>68</v>
      </c>
      <c r="E142" s="20">
        <f t="shared" ref="E142:E143" si="19">U142</f>
        <v>1</v>
      </c>
      <c r="F142" s="49" t="s">
        <v>69</v>
      </c>
      <c r="G142" s="49" t="s">
        <v>55</v>
      </c>
      <c r="H142" s="19" t="s">
        <v>204</v>
      </c>
      <c r="I142" s="38"/>
      <c r="J142" s="38"/>
      <c r="K142" s="38"/>
      <c r="L142" s="2"/>
      <c r="M142" s="2"/>
      <c r="N142" s="2"/>
      <c r="O142" s="74"/>
      <c r="P142" s="2">
        <v>1</v>
      </c>
      <c r="Q142" s="2"/>
      <c r="R142" s="2"/>
      <c r="S142" s="2"/>
      <c r="T142" s="2"/>
      <c r="U142" s="15">
        <f>SUM(I142:T142)</f>
        <v>1</v>
      </c>
    </row>
    <row r="143" spans="2:21" ht="24" x14ac:dyDescent="0.2">
      <c r="B143" s="35" t="s">
        <v>236</v>
      </c>
      <c r="C143" s="10" t="s">
        <v>237</v>
      </c>
      <c r="D143" s="49" t="s">
        <v>68</v>
      </c>
      <c r="E143" s="20">
        <f t="shared" si="19"/>
        <v>1</v>
      </c>
      <c r="F143" s="49" t="s">
        <v>69</v>
      </c>
      <c r="G143" s="49" t="s">
        <v>55</v>
      </c>
      <c r="H143" s="19" t="s">
        <v>204</v>
      </c>
      <c r="I143" s="38"/>
      <c r="J143" s="38"/>
      <c r="K143" s="38"/>
      <c r="L143" s="2"/>
      <c r="M143" s="2"/>
      <c r="N143" s="2"/>
      <c r="O143" s="2"/>
      <c r="P143" s="2"/>
      <c r="Q143" s="2"/>
      <c r="R143" s="2"/>
      <c r="S143" s="39">
        <v>1</v>
      </c>
      <c r="T143" s="2"/>
      <c r="U143" s="15">
        <f>SUM(I143:T143)</f>
        <v>1</v>
      </c>
    </row>
    <row r="144" spans="2:21" ht="21.95" customHeight="1" x14ac:dyDescent="0.2">
      <c r="B144" s="31" t="s">
        <v>78</v>
      </c>
      <c r="C144" s="33" t="s">
        <v>238</v>
      </c>
      <c r="D144" s="34"/>
      <c r="E144" s="34"/>
      <c r="F144" s="34"/>
      <c r="G144" s="34"/>
      <c r="H144" s="33"/>
      <c r="I144" s="34"/>
      <c r="J144" s="34"/>
      <c r="K144" s="34"/>
      <c r="L144" s="34"/>
      <c r="M144" s="34"/>
      <c r="N144" s="34"/>
      <c r="O144" s="34"/>
      <c r="P144" s="34"/>
      <c r="Q144" s="34"/>
      <c r="R144" s="34"/>
      <c r="S144" s="34"/>
      <c r="T144" s="34"/>
      <c r="U144" s="34"/>
    </row>
    <row r="145" spans="1:21" ht="21.95" customHeight="1" x14ac:dyDescent="0.2">
      <c r="B145" s="35" t="s">
        <v>239</v>
      </c>
      <c r="C145" s="10" t="s">
        <v>240</v>
      </c>
      <c r="D145" s="48" t="s">
        <v>68</v>
      </c>
      <c r="E145" s="20">
        <f>U145</f>
        <v>1</v>
      </c>
      <c r="F145" s="48" t="s">
        <v>69</v>
      </c>
      <c r="G145" s="49" t="s">
        <v>55</v>
      </c>
      <c r="H145" s="10"/>
      <c r="I145" s="2"/>
      <c r="J145" s="2"/>
      <c r="K145" s="2"/>
      <c r="T145" s="14">
        <v>1</v>
      </c>
      <c r="U145" s="15">
        <f>SUM(I145:T145)</f>
        <v>1</v>
      </c>
    </row>
    <row r="146" spans="1:21" ht="21.95" customHeight="1" x14ac:dyDescent="0.2">
      <c r="B146" s="31" t="s">
        <v>90</v>
      </c>
      <c r="C146" s="33" t="s">
        <v>150</v>
      </c>
      <c r="D146" s="34"/>
      <c r="E146" s="34"/>
      <c r="F146" s="34"/>
      <c r="G146" s="34"/>
      <c r="H146" s="33"/>
      <c r="I146" s="34"/>
      <c r="J146" s="34"/>
      <c r="K146" s="34"/>
      <c r="L146" s="34"/>
      <c r="M146" s="34"/>
      <c r="N146" s="34"/>
      <c r="O146" s="34"/>
      <c r="P146" s="34"/>
      <c r="Q146" s="34"/>
      <c r="R146" s="34"/>
      <c r="S146" s="34"/>
      <c r="T146" s="34"/>
      <c r="U146" s="34"/>
    </row>
    <row r="147" spans="1:21" ht="30" customHeight="1" x14ac:dyDescent="0.2">
      <c r="B147" s="35" t="s">
        <v>639</v>
      </c>
      <c r="C147" s="10" t="s">
        <v>241</v>
      </c>
      <c r="D147" s="48" t="s">
        <v>242</v>
      </c>
      <c r="E147" s="20">
        <f t="shared" ref="E147:E148" si="20">U147</f>
        <v>1</v>
      </c>
      <c r="F147" s="48" t="s">
        <v>70</v>
      </c>
      <c r="G147" s="48" t="s">
        <v>70</v>
      </c>
      <c r="H147" s="9" t="s">
        <v>243</v>
      </c>
      <c r="L147" s="2"/>
      <c r="M147" s="2"/>
      <c r="N147" s="2"/>
      <c r="O147" s="14">
        <v>1</v>
      </c>
      <c r="U147" s="15">
        <f>SUM(I147:T147)</f>
        <v>1</v>
      </c>
    </row>
    <row r="148" spans="1:21" ht="21.75" customHeight="1" x14ac:dyDescent="0.2">
      <c r="B148" s="35" t="s">
        <v>244</v>
      </c>
      <c r="C148" s="10" t="s">
        <v>245</v>
      </c>
      <c r="D148" s="49" t="s">
        <v>153</v>
      </c>
      <c r="E148" s="20">
        <f t="shared" si="20"/>
        <v>2</v>
      </c>
      <c r="F148" s="49" t="s">
        <v>70</v>
      </c>
      <c r="G148" s="48" t="s">
        <v>382</v>
      </c>
      <c r="H148" s="19" t="s">
        <v>204</v>
      </c>
      <c r="I148" s="38"/>
      <c r="J148" s="38"/>
      <c r="K148" s="38"/>
      <c r="L148" s="2"/>
      <c r="M148" s="2"/>
      <c r="N148" s="39">
        <v>1</v>
      </c>
      <c r="O148" s="2"/>
      <c r="P148" s="2"/>
      <c r="Q148" s="2"/>
      <c r="R148" s="2"/>
      <c r="S148" s="2"/>
      <c r="T148" s="39">
        <v>1</v>
      </c>
      <c r="U148" s="15">
        <f>SUM(I148:T148)</f>
        <v>2</v>
      </c>
    </row>
    <row r="149" spans="1:21" ht="21.95" customHeight="1" x14ac:dyDescent="0.2">
      <c r="B149" s="27" t="s">
        <v>71</v>
      </c>
      <c r="C149" s="29"/>
      <c r="D149" s="30"/>
      <c r="E149" s="30"/>
      <c r="F149" s="30"/>
      <c r="G149" s="30"/>
      <c r="H149" s="29"/>
      <c r="I149" s="30"/>
      <c r="J149" s="30"/>
      <c r="K149" s="30"/>
      <c r="L149" s="30"/>
      <c r="M149" s="30"/>
      <c r="N149" s="30"/>
      <c r="O149" s="30"/>
      <c r="P149" s="30"/>
      <c r="Q149" s="30"/>
      <c r="R149" s="30"/>
      <c r="S149" s="30"/>
      <c r="T149" s="30"/>
      <c r="U149" s="30"/>
    </row>
    <row r="150" spans="1:21" ht="21.95" customHeight="1" x14ac:dyDescent="0.2">
      <c r="B150" s="31" t="s">
        <v>247</v>
      </c>
      <c r="C150" s="33"/>
      <c r="D150" s="34"/>
      <c r="E150" s="34"/>
      <c r="F150" s="34"/>
      <c r="G150" s="34"/>
      <c r="H150" s="33"/>
      <c r="I150" s="34"/>
      <c r="J150" s="34"/>
      <c r="K150" s="34"/>
      <c r="L150" s="34"/>
      <c r="M150" s="34"/>
      <c r="N150" s="34"/>
      <c r="O150" s="34"/>
      <c r="P150" s="34"/>
      <c r="Q150" s="34"/>
      <c r="R150" s="34"/>
      <c r="S150" s="34"/>
      <c r="T150" s="34"/>
      <c r="U150" s="34"/>
    </row>
    <row r="151" spans="1:21" ht="36" x14ac:dyDescent="0.2">
      <c r="B151" s="35" t="s">
        <v>640</v>
      </c>
      <c r="C151" s="10" t="s">
        <v>248</v>
      </c>
      <c r="D151" s="1" t="s">
        <v>47</v>
      </c>
      <c r="E151" s="20">
        <f>U151</f>
        <v>6</v>
      </c>
      <c r="F151" s="48" t="s">
        <v>45</v>
      </c>
      <c r="G151" s="1" t="s">
        <v>297</v>
      </c>
      <c r="H151" s="10" t="s">
        <v>249</v>
      </c>
      <c r="I151" s="2"/>
      <c r="J151" s="2">
        <v>1</v>
      </c>
      <c r="K151" s="2">
        <v>1</v>
      </c>
      <c r="M151" s="14">
        <v>1</v>
      </c>
      <c r="N151" s="2"/>
      <c r="O151" s="14">
        <v>1</v>
      </c>
      <c r="Q151" s="14">
        <v>1</v>
      </c>
      <c r="R151" s="77"/>
      <c r="S151" s="13">
        <v>1</v>
      </c>
      <c r="U151" s="15">
        <f>SUM(I151:T151)</f>
        <v>6</v>
      </c>
    </row>
    <row r="152" spans="1:21" s="50" customFormat="1" ht="21.95" customHeight="1" x14ac:dyDescent="0.2">
      <c r="A152" s="1"/>
      <c r="B152" s="23" t="s">
        <v>250</v>
      </c>
      <c r="C152" s="23" t="s">
        <v>251</v>
      </c>
      <c r="D152" s="26"/>
      <c r="E152" s="26"/>
      <c r="F152" s="26"/>
      <c r="G152" s="26"/>
      <c r="H152" s="25"/>
      <c r="I152" s="26"/>
      <c r="J152" s="26"/>
      <c r="K152" s="26"/>
      <c r="L152" s="26"/>
      <c r="M152" s="26"/>
      <c r="N152" s="26"/>
      <c r="O152" s="26"/>
      <c r="P152" s="26"/>
      <c r="Q152" s="26"/>
      <c r="R152" s="26"/>
      <c r="S152" s="26"/>
      <c r="T152" s="26"/>
      <c r="U152" s="26"/>
    </row>
    <row r="153" spans="1:21" ht="21.95" customHeight="1" x14ac:dyDescent="0.2">
      <c r="B153" s="27" t="s">
        <v>212</v>
      </c>
      <c r="C153" s="29"/>
      <c r="D153" s="30"/>
      <c r="E153" s="30"/>
      <c r="F153" s="30"/>
      <c r="G153" s="30"/>
      <c r="H153" s="29"/>
      <c r="I153" s="30"/>
      <c r="J153" s="30"/>
      <c r="K153" s="30"/>
      <c r="L153" s="30"/>
      <c r="M153" s="30"/>
      <c r="N153" s="30"/>
      <c r="O153" s="30"/>
      <c r="P153" s="30"/>
      <c r="Q153" s="30"/>
      <c r="R153" s="30"/>
      <c r="S153" s="30"/>
      <c r="T153" s="30"/>
      <c r="U153" s="30"/>
    </row>
    <row r="154" spans="1:21" ht="21.95" customHeight="1" x14ac:dyDescent="0.2">
      <c r="B154" s="31" t="s">
        <v>19</v>
      </c>
      <c r="C154" s="33" t="s">
        <v>20</v>
      </c>
      <c r="D154" s="34"/>
      <c r="E154" s="34"/>
      <c r="F154" s="34"/>
      <c r="G154" s="34"/>
      <c r="H154" s="33"/>
      <c r="I154" s="34"/>
      <c r="J154" s="34"/>
      <c r="K154" s="34"/>
      <c r="L154" s="34"/>
      <c r="M154" s="34"/>
      <c r="N154" s="34"/>
      <c r="O154" s="34"/>
      <c r="P154" s="34"/>
      <c r="Q154" s="34"/>
      <c r="R154" s="34"/>
      <c r="S154" s="34"/>
      <c r="T154" s="34"/>
      <c r="U154" s="34"/>
    </row>
    <row r="155" spans="1:21" ht="36" x14ac:dyDescent="0.2">
      <c r="B155" s="35" t="s">
        <v>363</v>
      </c>
      <c r="C155" s="16" t="s">
        <v>252</v>
      </c>
      <c r="D155" s="48" t="s">
        <v>22</v>
      </c>
      <c r="E155" s="20">
        <f t="shared" ref="E155:E156" si="21">U155</f>
        <v>24</v>
      </c>
      <c r="F155" s="48" t="s">
        <v>23</v>
      </c>
      <c r="G155" s="48" t="s">
        <v>253</v>
      </c>
      <c r="H155" s="10" t="s">
        <v>254</v>
      </c>
      <c r="I155" s="77">
        <v>2</v>
      </c>
      <c r="J155" s="14">
        <v>2</v>
      </c>
      <c r="K155" s="14">
        <v>2</v>
      </c>
      <c r="L155" s="14">
        <v>2</v>
      </c>
      <c r="M155" s="14">
        <v>2</v>
      </c>
      <c r="N155" s="14">
        <v>2</v>
      </c>
      <c r="O155" s="14">
        <v>2</v>
      </c>
      <c r="P155" s="14">
        <v>2</v>
      </c>
      <c r="Q155" s="14">
        <v>2</v>
      </c>
      <c r="R155" s="14">
        <v>2</v>
      </c>
      <c r="S155" s="14">
        <v>2</v>
      </c>
      <c r="T155" s="14">
        <v>2</v>
      </c>
      <c r="U155" s="15">
        <f>SUM(I155:T155)</f>
        <v>24</v>
      </c>
    </row>
    <row r="156" spans="1:21" ht="36" x14ac:dyDescent="0.2">
      <c r="B156" s="35" t="s">
        <v>364</v>
      </c>
      <c r="C156" s="18" t="s">
        <v>255</v>
      </c>
      <c r="D156" s="48" t="s">
        <v>47</v>
      </c>
      <c r="E156" s="20">
        <f t="shared" si="21"/>
        <v>18</v>
      </c>
      <c r="F156" s="48" t="s">
        <v>45</v>
      </c>
      <c r="G156" s="48" t="s">
        <v>256</v>
      </c>
      <c r="H156" s="19" t="s">
        <v>257</v>
      </c>
      <c r="I156" s="14">
        <v>4</v>
      </c>
      <c r="J156" s="14">
        <v>2</v>
      </c>
      <c r="K156" s="14">
        <v>1</v>
      </c>
      <c r="L156" s="14">
        <v>1</v>
      </c>
      <c r="M156" s="14">
        <v>1</v>
      </c>
      <c r="N156" s="14">
        <v>2</v>
      </c>
      <c r="O156" s="14">
        <v>1</v>
      </c>
      <c r="P156" s="14">
        <v>1</v>
      </c>
      <c r="Q156" s="14">
        <v>1</v>
      </c>
      <c r="R156" s="14">
        <v>1</v>
      </c>
      <c r="S156" s="14">
        <v>2</v>
      </c>
      <c r="T156" s="14">
        <v>1</v>
      </c>
      <c r="U156" s="15">
        <f>SUM(I156:T156)</f>
        <v>18</v>
      </c>
    </row>
    <row r="157" spans="1:21" ht="21.95" customHeight="1" x14ac:dyDescent="0.2">
      <c r="B157" s="31" t="s">
        <v>51</v>
      </c>
      <c r="C157" s="33" t="s">
        <v>52</v>
      </c>
      <c r="D157" s="34"/>
      <c r="E157" s="34"/>
      <c r="F157" s="34"/>
      <c r="G157" s="34"/>
      <c r="H157" s="33"/>
      <c r="I157" s="34"/>
      <c r="J157" s="34"/>
      <c r="K157" s="34"/>
      <c r="L157" s="34"/>
      <c r="M157" s="34"/>
      <c r="N157" s="34"/>
      <c r="O157" s="34"/>
      <c r="P157" s="34"/>
      <c r="Q157" s="34"/>
      <c r="R157" s="34"/>
      <c r="S157" s="34"/>
      <c r="T157" s="34"/>
      <c r="U157" s="34"/>
    </row>
    <row r="158" spans="1:21" ht="24" x14ac:dyDescent="0.2">
      <c r="B158" s="35" t="s">
        <v>641</v>
      </c>
      <c r="C158" s="18" t="s">
        <v>264</v>
      </c>
      <c r="D158" s="48" t="s">
        <v>137</v>
      </c>
      <c r="E158" s="20">
        <f>U158</f>
        <v>1</v>
      </c>
      <c r="F158" s="48" t="s">
        <v>138</v>
      </c>
      <c r="G158" s="48" t="s">
        <v>55</v>
      </c>
      <c r="H158" s="19" t="s">
        <v>265</v>
      </c>
      <c r="I158" s="2"/>
      <c r="J158" s="2"/>
      <c r="K158" s="2"/>
      <c r="L158" s="2">
        <v>1</v>
      </c>
      <c r="M158" s="2"/>
      <c r="R158" s="77"/>
      <c r="U158" s="15">
        <f>SUM(I158:T158)</f>
        <v>1</v>
      </c>
    </row>
    <row r="159" spans="1:21" ht="36" x14ac:dyDescent="0.2">
      <c r="B159" s="35" t="s">
        <v>365</v>
      </c>
      <c r="C159" s="18" t="s">
        <v>361</v>
      </c>
      <c r="D159" s="48" t="s">
        <v>258</v>
      </c>
      <c r="E159" s="20">
        <f t="shared" ref="E159:E160" si="22">U159</f>
        <v>1</v>
      </c>
      <c r="F159" s="48" t="s">
        <v>259</v>
      </c>
      <c r="G159" s="48" t="s">
        <v>55</v>
      </c>
      <c r="H159" s="19" t="s">
        <v>260</v>
      </c>
      <c r="I159" s="2"/>
      <c r="J159" s="2"/>
      <c r="K159" s="2"/>
      <c r="L159" s="2"/>
      <c r="M159" s="2"/>
      <c r="N159" s="77"/>
      <c r="O159" s="13">
        <v>1</v>
      </c>
      <c r="U159" s="15">
        <f>SUM(I159:T159)</f>
        <v>1</v>
      </c>
    </row>
    <row r="160" spans="1:21" ht="24" x14ac:dyDescent="0.2">
      <c r="B160" s="35" t="s">
        <v>366</v>
      </c>
      <c r="C160" s="18" t="s">
        <v>261</v>
      </c>
      <c r="D160" s="48" t="s">
        <v>262</v>
      </c>
      <c r="E160" s="20">
        <f t="shared" si="22"/>
        <v>2</v>
      </c>
      <c r="F160" s="48" t="s">
        <v>259</v>
      </c>
      <c r="G160" s="48" t="s">
        <v>55</v>
      </c>
      <c r="H160" s="19" t="s">
        <v>263</v>
      </c>
      <c r="I160" s="2"/>
      <c r="J160" s="2"/>
      <c r="K160" s="2"/>
      <c r="L160" s="2"/>
      <c r="M160" s="2"/>
      <c r="O160" s="14">
        <v>1</v>
      </c>
      <c r="Q160" s="14">
        <v>1</v>
      </c>
      <c r="S160" s="77"/>
      <c r="U160" s="15">
        <f>SUM(I160:T160)</f>
        <v>2</v>
      </c>
    </row>
    <row r="161" spans="1:21" ht="21.95" customHeight="1" x14ac:dyDescent="0.2">
      <c r="B161" s="31" t="s">
        <v>67</v>
      </c>
      <c r="C161" s="33" t="s">
        <v>190</v>
      </c>
      <c r="D161" s="34"/>
      <c r="E161" s="34"/>
      <c r="F161" s="34"/>
      <c r="G161" s="34"/>
      <c r="H161" s="33"/>
      <c r="I161" s="34"/>
      <c r="J161" s="34"/>
      <c r="K161" s="34"/>
      <c r="L161" s="34"/>
      <c r="M161" s="34"/>
      <c r="N161" s="34"/>
      <c r="O161" s="34"/>
      <c r="P161" s="34"/>
      <c r="Q161" s="34"/>
      <c r="R161" s="34"/>
      <c r="S161" s="34"/>
      <c r="T161" s="34"/>
      <c r="U161" s="34"/>
    </row>
    <row r="162" spans="1:21" ht="36" customHeight="1" x14ac:dyDescent="0.2">
      <c r="B162" s="35" t="s">
        <v>644</v>
      </c>
      <c r="C162" s="16" t="s">
        <v>405</v>
      </c>
      <c r="D162" s="48" t="s">
        <v>642</v>
      </c>
      <c r="E162" s="20">
        <f>U162</f>
        <v>1</v>
      </c>
      <c r="F162" s="48" t="s">
        <v>465</v>
      </c>
      <c r="G162" s="48" t="s">
        <v>55</v>
      </c>
      <c r="H162" s="10" t="s">
        <v>643</v>
      </c>
      <c r="I162" s="2"/>
      <c r="J162" s="2"/>
      <c r="K162" s="2"/>
      <c r="L162" s="2"/>
      <c r="M162" s="2"/>
      <c r="O162" s="77"/>
      <c r="S162" s="13">
        <v>1</v>
      </c>
      <c r="T162" s="77"/>
      <c r="U162" s="15">
        <f>SUM(I162:T162)</f>
        <v>1</v>
      </c>
    </row>
    <row r="163" spans="1:21" ht="21.95" customHeight="1" x14ac:dyDescent="0.2">
      <c r="A163" s="120"/>
      <c r="B163" s="121" t="s">
        <v>78</v>
      </c>
      <c r="C163" s="121" t="s">
        <v>713</v>
      </c>
      <c r="D163" s="62"/>
      <c r="E163" s="62"/>
      <c r="F163" s="65"/>
      <c r="G163" s="62"/>
      <c r="H163" s="68"/>
      <c r="I163" s="62"/>
      <c r="J163" s="62"/>
      <c r="K163" s="62"/>
      <c r="L163" s="62"/>
      <c r="M163" s="62"/>
      <c r="N163" s="62"/>
      <c r="O163" s="62"/>
      <c r="P163" s="62"/>
      <c r="Q163" s="62"/>
      <c r="R163" s="62"/>
      <c r="S163" s="62"/>
      <c r="T163" s="62"/>
      <c r="U163" s="62"/>
    </row>
    <row r="164" spans="1:21" ht="36.75" customHeight="1" x14ac:dyDescent="0.2">
      <c r="A164" s="120"/>
      <c r="B164" s="35" t="s">
        <v>709</v>
      </c>
      <c r="C164" s="16" t="s">
        <v>710</v>
      </c>
      <c r="D164" s="48" t="s">
        <v>711</v>
      </c>
      <c r="E164" s="20">
        <f>U164</f>
        <v>1</v>
      </c>
      <c r="F164" s="48" t="s">
        <v>712</v>
      </c>
      <c r="G164" s="48" t="s">
        <v>55</v>
      </c>
      <c r="H164" s="10" t="s">
        <v>714</v>
      </c>
      <c r="I164" s="2">
        <v>1</v>
      </c>
      <c r="J164" s="2"/>
      <c r="K164" s="2"/>
      <c r="L164" s="2"/>
      <c r="M164" s="2"/>
      <c r="O164" s="77"/>
      <c r="T164" s="77"/>
      <c r="U164" s="15">
        <f>SUM(I164:T164)</f>
        <v>1</v>
      </c>
    </row>
    <row r="165" spans="1:21" ht="21.95" customHeight="1" x14ac:dyDescent="0.2">
      <c r="B165" s="31" t="s">
        <v>90</v>
      </c>
      <c r="C165" s="33" t="s">
        <v>150</v>
      </c>
      <c r="D165" s="34"/>
      <c r="E165" s="34"/>
      <c r="F165" s="34"/>
      <c r="G165" s="34"/>
      <c r="H165" s="33"/>
      <c r="I165" s="34"/>
      <c r="J165" s="34"/>
      <c r="K165" s="34"/>
      <c r="L165" s="34"/>
      <c r="M165" s="34"/>
      <c r="N165" s="34"/>
      <c r="O165" s="34"/>
      <c r="P165" s="34"/>
      <c r="Q165" s="34"/>
      <c r="R165" s="34"/>
      <c r="S165" s="34"/>
      <c r="T165" s="34"/>
      <c r="U165" s="34"/>
    </row>
    <row r="166" spans="1:21" ht="18.75" customHeight="1" x14ac:dyDescent="0.2">
      <c r="B166" s="35" t="s">
        <v>367</v>
      </c>
      <c r="C166" s="16" t="s">
        <v>266</v>
      </c>
      <c r="D166" s="48" t="s">
        <v>267</v>
      </c>
      <c r="E166" s="20">
        <f t="shared" ref="E166:E168" si="23">U166</f>
        <v>1</v>
      </c>
      <c r="F166" s="48" t="s">
        <v>268</v>
      </c>
      <c r="G166" s="48" t="s">
        <v>70</v>
      </c>
      <c r="H166" s="10" t="s">
        <v>269</v>
      </c>
      <c r="I166" s="2"/>
      <c r="J166" s="2"/>
      <c r="K166" s="2"/>
      <c r="L166" s="2"/>
      <c r="M166" s="2"/>
      <c r="N166" s="39">
        <v>1</v>
      </c>
      <c r="O166" s="2"/>
      <c r="P166" s="2"/>
      <c r="U166" s="15">
        <f>SUM(I166:T166)</f>
        <v>1</v>
      </c>
    </row>
    <row r="167" spans="1:21" ht="24" x14ac:dyDescent="0.2">
      <c r="B167" s="35" t="s">
        <v>369</v>
      </c>
      <c r="C167" s="16" t="s">
        <v>270</v>
      </c>
      <c r="D167" s="48" t="s">
        <v>271</v>
      </c>
      <c r="E167" s="20">
        <f t="shared" si="23"/>
        <v>2</v>
      </c>
      <c r="F167" s="48" t="s">
        <v>272</v>
      </c>
      <c r="G167" s="48" t="s">
        <v>70</v>
      </c>
      <c r="H167" s="10" t="s">
        <v>273</v>
      </c>
      <c r="I167" s="2"/>
      <c r="J167" s="2"/>
      <c r="K167" s="2"/>
      <c r="L167" s="2"/>
      <c r="M167" s="2"/>
      <c r="N167" s="2">
        <v>1</v>
      </c>
      <c r="O167" s="74"/>
      <c r="P167" s="2"/>
      <c r="S167" s="14">
        <v>1</v>
      </c>
      <c r="U167" s="15">
        <f>SUM(I167:T167)</f>
        <v>2</v>
      </c>
    </row>
    <row r="168" spans="1:21" ht="36" x14ac:dyDescent="0.2">
      <c r="B168" s="35" t="s">
        <v>368</v>
      </c>
      <c r="C168" s="16" t="s">
        <v>274</v>
      </c>
      <c r="D168" s="48" t="s">
        <v>275</v>
      </c>
      <c r="E168" s="20">
        <f t="shared" si="23"/>
        <v>1</v>
      </c>
      <c r="F168" s="48" t="s">
        <v>55</v>
      </c>
      <c r="G168" s="48" t="s">
        <v>70</v>
      </c>
      <c r="H168" s="10" t="s">
        <v>276</v>
      </c>
      <c r="I168" s="2"/>
      <c r="J168" s="2"/>
      <c r="K168" s="2"/>
      <c r="L168" s="2"/>
      <c r="M168" s="2"/>
      <c r="N168" s="2"/>
      <c r="O168" s="2"/>
      <c r="P168" s="2"/>
      <c r="R168" s="14">
        <v>1</v>
      </c>
      <c r="U168" s="15">
        <f>SUM(I168:T168)</f>
        <v>1</v>
      </c>
    </row>
    <row r="169" spans="1:21" ht="21.75" customHeight="1" x14ac:dyDescent="0.2">
      <c r="B169" s="111" t="s">
        <v>310</v>
      </c>
      <c r="C169" s="112" t="s">
        <v>399</v>
      </c>
      <c r="D169" s="52"/>
      <c r="E169" s="52"/>
      <c r="F169" s="52"/>
      <c r="G169" s="52"/>
      <c r="H169" s="51"/>
      <c r="I169" s="52"/>
      <c r="J169" s="52"/>
      <c r="K169" s="52"/>
      <c r="L169" s="52"/>
      <c r="M169" s="52"/>
      <c r="N169" s="52"/>
      <c r="O169" s="52"/>
      <c r="P169" s="52"/>
      <c r="Q169" s="52"/>
      <c r="R169" s="52"/>
      <c r="S169" s="52"/>
      <c r="T169" s="52"/>
      <c r="U169" s="52"/>
    </row>
    <row r="170" spans="1:21" ht="21.95" customHeight="1" x14ac:dyDescent="0.2">
      <c r="B170" s="131" t="s">
        <v>18</v>
      </c>
      <c r="C170" s="131"/>
      <c r="D170" s="54"/>
      <c r="E170" s="54"/>
      <c r="F170" s="54"/>
      <c r="G170" s="54"/>
      <c r="H170" s="53"/>
      <c r="I170" s="54"/>
      <c r="J170" s="54"/>
      <c r="K170" s="54"/>
      <c r="L170" s="54"/>
      <c r="M170" s="54"/>
      <c r="N170" s="54"/>
      <c r="O170" s="54"/>
      <c r="P170" s="54"/>
      <c r="Q170" s="54"/>
      <c r="R170" s="54"/>
      <c r="S170" s="54"/>
      <c r="T170" s="54"/>
      <c r="U170" s="54"/>
    </row>
    <row r="171" spans="1:21" ht="21.95" customHeight="1" x14ac:dyDescent="0.2">
      <c r="B171" s="55" t="s">
        <v>19</v>
      </c>
      <c r="C171" s="55" t="s">
        <v>20</v>
      </c>
      <c r="D171" s="56"/>
      <c r="E171" s="56"/>
      <c r="F171" s="56"/>
      <c r="G171" s="56"/>
      <c r="H171" s="55"/>
      <c r="I171" s="56"/>
      <c r="J171" s="56"/>
      <c r="K171" s="56"/>
      <c r="L171" s="56"/>
      <c r="M171" s="56"/>
      <c r="N171" s="56"/>
      <c r="O171" s="56"/>
      <c r="P171" s="56"/>
      <c r="Q171" s="56"/>
      <c r="R171" s="56"/>
      <c r="S171" s="56"/>
      <c r="T171" s="56"/>
      <c r="U171" s="56"/>
    </row>
    <row r="172" spans="1:21" ht="21.95" customHeight="1" x14ac:dyDescent="0.2">
      <c r="B172" s="19" t="s">
        <v>311</v>
      </c>
      <c r="C172" s="18" t="s">
        <v>312</v>
      </c>
      <c r="D172" s="49" t="s">
        <v>86</v>
      </c>
      <c r="E172" s="20">
        <f t="shared" ref="E172:E185" si="24">U172</f>
        <v>3</v>
      </c>
      <c r="F172" s="49" t="s">
        <v>79</v>
      </c>
      <c r="G172" s="48" t="s">
        <v>88</v>
      </c>
      <c r="H172" s="67" t="s">
        <v>645</v>
      </c>
      <c r="I172" s="57">
        <v>3</v>
      </c>
      <c r="J172" s="57"/>
      <c r="K172" s="57"/>
      <c r="L172" s="57"/>
      <c r="M172" s="57"/>
      <c r="N172" s="57"/>
      <c r="O172" s="57"/>
      <c r="P172" s="57"/>
      <c r="Q172" s="57"/>
      <c r="R172" s="57"/>
      <c r="S172" s="57"/>
      <c r="T172" s="57"/>
      <c r="U172" s="15">
        <f t="shared" ref="U172:U185" si="25">SUM(I172:T172)</f>
        <v>3</v>
      </c>
    </row>
    <row r="173" spans="1:21" ht="24" x14ac:dyDescent="0.2">
      <c r="B173" s="19" t="s">
        <v>313</v>
      </c>
      <c r="C173" s="18" t="s">
        <v>407</v>
      </c>
      <c r="D173" s="49" t="s">
        <v>22</v>
      </c>
      <c r="E173" s="20">
        <f t="shared" si="24"/>
        <v>10</v>
      </c>
      <c r="F173" s="49" t="s">
        <v>20</v>
      </c>
      <c r="G173" s="48" t="s">
        <v>24</v>
      </c>
      <c r="H173" s="67" t="s">
        <v>408</v>
      </c>
      <c r="I173" s="57"/>
      <c r="J173" s="57"/>
      <c r="K173" s="57">
        <v>2</v>
      </c>
      <c r="L173" s="57">
        <v>2</v>
      </c>
      <c r="M173" s="57">
        <v>2</v>
      </c>
      <c r="N173" s="57">
        <v>2</v>
      </c>
      <c r="O173" s="57">
        <v>2</v>
      </c>
      <c r="P173" s="57"/>
      <c r="Q173" s="57"/>
      <c r="R173" s="57"/>
      <c r="S173" s="57"/>
      <c r="T173" s="57"/>
      <c r="U173" s="15">
        <f t="shared" si="25"/>
        <v>10</v>
      </c>
    </row>
    <row r="174" spans="1:21" ht="27.75" customHeight="1" x14ac:dyDescent="0.2">
      <c r="B174" s="19" t="s">
        <v>314</v>
      </c>
      <c r="C174" s="18" t="s">
        <v>409</v>
      </c>
      <c r="D174" s="49" t="s">
        <v>22</v>
      </c>
      <c r="E174" s="20">
        <f t="shared" si="24"/>
        <v>18</v>
      </c>
      <c r="F174" s="49" t="s">
        <v>23</v>
      </c>
      <c r="G174" s="48" t="s">
        <v>24</v>
      </c>
      <c r="H174" s="67" t="s">
        <v>377</v>
      </c>
      <c r="I174" s="57"/>
      <c r="J174" s="57"/>
      <c r="K174" s="57"/>
      <c r="L174" s="57">
        <v>6</v>
      </c>
      <c r="M174" s="57">
        <v>6</v>
      </c>
      <c r="N174" s="57">
        <v>6</v>
      </c>
      <c r="O174" s="57"/>
      <c r="P174" s="57"/>
      <c r="Q174" s="57"/>
      <c r="R174" s="57"/>
      <c r="S174" s="57"/>
      <c r="T174" s="57"/>
      <c r="U174" s="15">
        <f t="shared" si="25"/>
        <v>18</v>
      </c>
    </row>
    <row r="175" spans="1:21" ht="25.5" customHeight="1" x14ac:dyDescent="0.2">
      <c r="B175" s="19" t="s">
        <v>315</v>
      </c>
      <c r="C175" s="58" t="s">
        <v>410</v>
      </c>
      <c r="D175" s="49" t="s">
        <v>22</v>
      </c>
      <c r="E175" s="20">
        <f t="shared" si="24"/>
        <v>15</v>
      </c>
      <c r="F175" s="49" t="s">
        <v>23</v>
      </c>
      <c r="G175" s="48" t="s">
        <v>24</v>
      </c>
      <c r="H175" s="67" t="s">
        <v>411</v>
      </c>
      <c r="I175" s="57"/>
      <c r="J175" s="57"/>
      <c r="K175" s="57"/>
      <c r="L175" s="57"/>
      <c r="M175" s="57"/>
      <c r="N175" s="57">
        <v>3</v>
      </c>
      <c r="O175" s="57"/>
      <c r="P175" s="57">
        <v>6</v>
      </c>
      <c r="Q175" s="57">
        <v>3</v>
      </c>
      <c r="R175" s="57"/>
      <c r="S175" s="57">
        <v>3</v>
      </c>
      <c r="T175" s="57"/>
      <c r="U175" s="15">
        <f t="shared" si="25"/>
        <v>15</v>
      </c>
    </row>
    <row r="176" spans="1:21" ht="24.75" customHeight="1" x14ac:dyDescent="0.2">
      <c r="B176" s="19" t="s">
        <v>316</v>
      </c>
      <c r="C176" s="79" t="s">
        <v>412</v>
      </c>
      <c r="D176" s="49" t="s">
        <v>413</v>
      </c>
      <c r="E176" s="20">
        <f t="shared" si="24"/>
        <v>2</v>
      </c>
      <c r="F176" s="49" t="s">
        <v>414</v>
      </c>
      <c r="G176" s="48" t="s">
        <v>24</v>
      </c>
      <c r="H176" s="67" t="s">
        <v>415</v>
      </c>
      <c r="I176" s="57"/>
      <c r="J176" s="57"/>
      <c r="K176" s="57"/>
      <c r="L176" s="57"/>
      <c r="M176" s="57">
        <v>2</v>
      </c>
      <c r="N176" s="57"/>
      <c r="O176" s="57"/>
      <c r="P176" s="57"/>
      <c r="Q176" s="57"/>
      <c r="R176" s="57"/>
      <c r="S176" s="57"/>
      <c r="T176" s="57"/>
      <c r="U176" s="15">
        <f t="shared" si="25"/>
        <v>2</v>
      </c>
    </row>
    <row r="177" spans="1:21" ht="25.5" customHeight="1" x14ac:dyDescent="0.2">
      <c r="B177" s="19" t="s">
        <v>317</v>
      </c>
      <c r="C177" s="12" t="s">
        <v>416</v>
      </c>
      <c r="D177" s="57" t="s">
        <v>417</v>
      </c>
      <c r="E177" s="20">
        <f t="shared" si="24"/>
        <v>3</v>
      </c>
      <c r="F177" s="57" t="s">
        <v>20</v>
      </c>
      <c r="G177" s="48" t="s">
        <v>24</v>
      </c>
      <c r="H177" s="67" t="s">
        <v>418</v>
      </c>
      <c r="I177" s="57"/>
      <c r="J177" s="57"/>
      <c r="K177" s="57"/>
      <c r="L177" s="57"/>
      <c r="M177" s="57">
        <v>2</v>
      </c>
      <c r="N177" s="57"/>
      <c r="O177" s="57">
        <v>1</v>
      </c>
      <c r="P177" s="57"/>
      <c r="Q177" s="57"/>
      <c r="R177" s="57"/>
      <c r="S177" s="57"/>
      <c r="T177" s="57"/>
      <c r="U177" s="15">
        <f t="shared" si="25"/>
        <v>3</v>
      </c>
    </row>
    <row r="178" spans="1:21" ht="25.5" customHeight="1" x14ac:dyDescent="0.2">
      <c r="A178" s="75"/>
      <c r="B178" s="80" t="s">
        <v>419</v>
      </c>
      <c r="C178" s="12" t="s">
        <v>426</v>
      </c>
      <c r="D178" s="57" t="s">
        <v>417</v>
      </c>
      <c r="E178" s="20">
        <f t="shared" si="24"/>
        <v>3</v>
      </c>
      <c r="F178" s="57" t="s">
        <v>20</v>
      </c>
      <c r="G178" s="48" t="s">
        <v>24</v>
      </c>
      <c r="H178" s="67" t="s">
        <v>432</v>
      </c>
      <c r="I178" s="57"/>
      <c r="J178" s="57"/>
      <c r="K178" s="57"/>
      <c r="L178" s="57">
        <v>1</v>
      </c>
      <c r="M178" s="57">
        <v>1</v>
      </c>
      <c r="N178" s="57">
        <v>1</v>
      </c>
      <c r="O178" s="57"/>
      <c r="P178" s="57"/>
      <c r="Q178" s="57"/>
      <c r="R178" s="57"/>
      <c r="S178" s="57"/>
      <c r="T178" s="57"/>
      <c r="U178" s="15">
        <f t="shared" ref="U178:U184" si="26">SUM(I178:T178)</f>
        <v>3</v>
      </c>
    </row>
    <row r="179" spans="1:21" ht="25.5" customHeight="1" x14ac:dyDescent="0.2">
      <c r="A179" s="75"/>
      <c r="B179" s="80" t="s">
        <v>420</v>
      </c>
      <c r="C179" s="12" t="s">
        <v>427</v>
      </c>
      <c r="D179" s="49" t="s">
        <v>22</v>
      </c>
      <c r="E179" s="20">
        <f t="shared" ref="E179:E184" si="27">U179</f>
        <v>8</v>
      </c>
      <c r="F179" s="49" t="s">
        <v>23</v>
      </c>
      <c r="G179" s="48" t="s">
        <v>24</v>
      </c>
      <c r="H179" s="67" t="s">
        <v>433</v>
      </c>
      <c r="I179" s="57"/>
      <c r="J179" s="57"/>
      <c r="K179" s="57"/>
      <c r="L179" s="57">
        <v>1</v>
      </c>
      <c r="M179" s="57">
        <v>1</v>
      </c>
      <c r="N179" s="57">
        <v>1</v>
      </c>
      <c r="O179" s="57">
        <v>1</v>
      </c>
      <c r="P179" s="57">
        <v>1</v>
      </c>
      <c r="Q179" s="57">
        <v>1</v>
      </c>
      <c r="R179" s="57">
        <v>1</v>
      </c>
      <c r="S179" s="57">
        <v>1</v>
      </c>
      <c r="T179" s="57"/>
      <c r="U179" s="15">
        <f t="shared" si="26"/>
        <v>8</v>
      </c>
    </row>
    <row r="180" spans="1:21" ht="25.5" customHeight="1" x14ac:dyDescent="0.2">
      <c r="A180" s="75"/>
      <c r="B180" s="80" t="s">
        <v>421</v>
      </c>
      <c r="C180" s="12" t="s">
        <v>428</v>
      </c>
      <c r="D180" s="57" t="s">
        <v>417</v>
      </c>
      <c r="E180" s="20">
        <f t="shared" si="27"/>
        <v>5</v>
      </c>
      <c r="F180" s="57" t="s">
        <v>20</v>
      </c>
      <c r="G180" s="48" t="s">
        <v>24</v>
      </c>
      <c r="H180" s="67" t="s">
        <v>434</v>
      </c>
      <c r="I180" s="57"/>
      <c r="J180" s="57">
        <v>1</v>
      </c>
      <c r="K180" s="57">
        <v>1</v>
      </c>
      <c r="L180" s="57"/>
      <c r="M180" s="57"/>
      <c r="N180" s="57"/>
      <c r="O180" s="57">
        <v>1</v>
      </c>
      <c r="P180" s="57"/>
      <c r="Q180" s="57"/>
      <c r="R180" s="57">
        <v>2</v>
      </c>
      <c r="S180" s="57"/>
      <c r="T180" s="57"/>
      <c r="U180" s="15">
        <f t="shared" si="26"/>
        <v>5</v>
      </c>
    </row>
    <row r="181" spans="1:21" ht="25.5" customHeight="1" x14ac:dyDescent="0.2">
      <c r="A181" s="75"/>
      <c r="B181" s="80" t="s">
        <v>422</v>
      </c>
      <c r="C181" s="12" t="s">
        <v>429</v>
      </c>
      <c r="D181" s="49" t="s">
        <v>22</v>
      </c>
      <c r="E181" s="20">
        <f t="shared" si="27"/>
        <v>6</v>
      </c>
      <c r="F181" s="49" t="s">
        <v>23</v>
      </c>
      <c r="G181" s="48" t="s">
        <v>24</v>
      </c>
      <c r="H181" s="67" t="s">
        <v>435</v>
      </c>
      <c r="I181" s="57"/>
      <c r="J181" s="57"/>
      <c r="K181" s="57"/>
      <c r="L181" s="57"/>
      <c r="M181" s="57"/>
      <c r="N181" s="57"/>
      <c r="O181" s="57"/>
      <c r="P181" s="57"/>
      <c r="Q181" s="57"/>
      <c r="R181" s="57">
        <v>2</v>
      </c>
      <c r="S181" s="57">
        <v>2</v>
      </c>
      <c r="T181" s="57">
        <v>2</v>
      </c>
      <c r="U181" s="15">
        <f t="shared" si="26"/>
        <v>6</v>
      </c>
    </row>
    <row r="182" spans="1:21" ht="25.5" customHeight="1" x14ac:dyDescent="0.2">
      <c r="A182" s="75"/>
      <c r="B182" s="80" t="s">
        <v>423</v>
      </c>
      <c r="C182" s="12" t="s">
        <v>646</v>
      </c>
      <c r="D182" s="49" t="s">
        <v>22</v>
      </c>
      <c r="E182" s="20">
        <f t="shared" si="27"/>
        <v>8</v>
      </c>
      <c r="F182" s="49" t="s">
        <v>23</v>
      </c>
      <c r="G182" s="48" t="s">
        <v>24</v>
      </c>
      <c r="H182" s="67" t="s">
        <v>436</v>
      </c>
      <c r="I182" s="57"/>
      <c r="J182" s="57"/>
      <c r="K182" s="57"/>
      <c r="L182" s="57"/>
      <c r="M182" s="57"/>
      <c r="N182" s="57">
        <v>4</v>
      </c>
      <c r="O182" s="57"/>
      <c r="P182" s="57"/>
      <c r="Q182" s="57"/>
      <c r="R182" s="57"/>
      <c r="S182" s="57">
        <v>4</v>
      </c>
      <c r="T182" s="57"/>
      <c r="U182" s="15">
        <f t="shared" si="26"/>
        <v>8</v>
      </c>
    </row>
    <row r="183" spans="1:21" ht="25.5" customHeight="1" x14ac:dyDescent="0.2">
      <c r="A183" s="75"/>
      <c r="B183" s="80" t="s">
        <v>424</v>
      </c>
      <c r="C183" s="12" t="s">
        <v>430</v>
      </c>
      <c r="D183" s="49" t="s">
        <v>22</v>
      </c>
      <c r="E183" s="20">
        <f t="shared" si="27"/>
        <v>4</v>
      </c>
      <c r="F183" s="49" t="s">
        <v>23</v>
      </c>
      <c r="G183" s="48" t="s">
        <v>24</v>
      </c>
      <c r="H183" s="67" t="s">
        <v>437</v>
      </c>
      <c r="I183" s="57"/>
      <c r="J183" s="57"/>
      <c r="K183" s="57"/>
      <c r="L183" s="57"/>
      <c r="M183" s="57"/>
      <c r="N183" s="57"/>
      <c r="O183" s="57"/>
      <c r="P183" s="57"/>
      <c r="Q183" s="57"/>
      <c r="R183" s="57"/>
      <c r="S183" s="57">
        <v>4</v>
      </c>
      <c r="T183" s="57"/>
      <c r="U183" s="15">
        <f t="shared" si="26"/>
        <v>4</v>
      </c>
    </row>
    <row r="184" spans="1:21" ht="25.5" customHeight="1" x14ac:dyDescent="0.2">
      <c r="A184" s="75"/>
      <c r="B184" s="80" t="s">
        <v>425</v>
      </c>
      <c r="C184" s="12" t="s">
        <v>431</v>
      </c>
      <c r="D184" s="49" t="s">
        <v>22</v>
      </c>
      <c r="E184" s="20">
        <f t="shared" si="27"/>
        <v>6</v>
      </c>
      <c r="F184" s="49" t="s">
        <v>23</v>
      </c>
      <c r="G184" s="48" t="s">
        <v>24</v>
      </c>
      <c r="H184" s="67" t="s">
        <v>438</v>
      </c>
      <c r="I184" s="57"/>
      <c r="J184" s="57"/>
      <c r="K184" s="57">
        <v>2</v>
      </c>
      <c r="L184" s="57"/>
      <c r="M184" s="57"/>
      <c r="N184" s="57"/>
      <c r="O184" s="57"/>
      <c r="P184" s="57">
        <v>2</v>
      </c>
      <c r="Q184" s="57"/>
      <c r="R184" s="57"/>
      <c r="S184" s="57">
        <v>2</v>
      </c>
      <c r="T184" s="57"/>
      <c r="U184" s="15">
        <f t="shared" si="26"/>
        <v>6</v>
      </c>
    </row>
    <row r="185" spans="1:21" ht="21.95" customHeight="1" x14ac:dyDescent="0.2">
      <c r="B185" s="19" t="s">
        <v>318</v>
      </c>
      <c r="C185" s="59" t="s">
        <v>319</v>
      </c>
      <c r="D185" s="57" t="s">
        <v>134</v>
      </c>
      <c r="E185" s="20">
        <f t="shared" si="24"/>
        <v>6</v>
      </c>
      <c r="F185" s="57" t="s">
        <v>370</v>
      </c>
      <c r="G185" s="48" t="s">
        <v>24</v>
      </c>
      <c r="H185" s="67" t="s">
        <v>378</v>
      </c>
      <c r="I185" s="57"/>
      <c r="J185" s="57"/>
      <c r="K185" s="57"/>
      <c r="L185" s="57"/>
      <c r="M185" s="57"/>
      <c r="N185" s="57">
        <v>3</v>
      </c>
      <c r="O185" s="57"/>
      <c r="P185" s="57"/>
      <c r="Q185" s="57"/>
      <c r="R185" s="57"/>
      <c r="S185" s="57">
        <v>3</v>
      </c>
      <c r="T185" s="57"/>
      <c r="U185" s="15">
        <f t="shared" si="25"/>
        <v>6</v>
      </c>
    </row>
    <row r="186" spans="1:21" ht="21.95" customHeight="1" x14ac:dyDescent="0.2">
      <c r="B186" s="60" t="s">
        <v>51</v>
      </c>
      <c r="C186" s="61" t="s">
        <v>52</v>
      </c>
      <c r="D186" s="62"/>
      <c r="E186" s="62"/>
      <c r="F186" s="62"/>
      <c r="G186" s="62"/>
      <c r="H186" s="68"/>
      <c r="I186" s="62"/>
      <c r="J186" s="62"/>
      <c r="K186" s="62"/>
      <c r="L186" s="62"/>
      <c r="M186" s="62"/>
      <c r="N186" s="62"/>
      <c r="O186" s="62"/>
      <c r="P186" s="62"/>
      <c r="Q186" s="62"/>
      <c r="R186" s="62"/>
      <c r="S186" s="62"/>
      <c r="T186" s="62"/>
      <c r="U186" s="62"/>
    </row>
    <row r="187" spans="1:21" ht="21.95" customHeight="1" x14ac:dyDescent="0.2">
      <c r="B187" s="80" t="s">
        <v>320</v>
      </c>
      <c r="C187" s="12" t="s">
        <v>439</v>
      </c>
      <c r="D187" s="49" t="s">
        <v>95</v>
      </c>
      <c r="E187" s="20">
        <f t="shared" ref="E187:E194" si="28">U187</f>
        <v>2</v>
      </c>
      <c r="F187" s="49" t="s">
        <v>66</v>
      </c>
      <c r="G187" s="48" t="s">
        <v>451</v>
      </c>
      <c r="H187" s="10" t="s">
        <v>379</v>
      </c>
      <c r="I187" s="57"/>
      <c r="J187" s="57"/>
      <c r="K187" s="57"/>
      <c r="L187" s="57"/>
      <c r="M187" s="57"/>
      <c r="N187" s="57"/>
      <c r="O187" s="57"/>
      <c r="P187" s="57">
        <v>1</v>
      </c>
      <c r="Q187" s="57">
        <v>1</v>
      </c>
      <c r="R187" s="57"/>
      <c r="S187" s="57"/>
      <c r="T187" s="57"/>
      <c r="U187" s="15">
        <f t="shared" ref="U187:U194" si="29">SUM(I187:T187)</f>
        <v>2</v>
      </c>
    </row>
    <row r="188" spans="1:21" ht="21.95" customHeight="1" x14ac:dyDescent="0.2">
      <c r="A188" s="75"/>
      <c r="B188" s="80" t="s">
        <v>321</v>
      </c>
      <c r="C188" s="12" t="s">
        <v>440</v>
      </c>
      <c r="D188" s="49" t="s">
        <v>95</v>
      </c>
      <c r="E188" s="20">
        <f t="shared" si="28"/>
        <v>2</v>
      </c>
      <c r="F188" s="49" t="s">
        <v>66</v>
      </c>
      <c r="G188" s="48" t="s">
        <v>451</v>
      </c>
      <c r="H188" s="10" t="s">
        <v>379</v>
      </c>
      <c r="I188" s="57"/>
      <c r="J188" s="57"/>
      <c r="K188" s="57"/>
      <c r="L188" s="57"/>
      <c r="M188" s="57"/>
      <c r="N188" s="57"/>
      <c r="O188" s="57">
        <v>1</v>
      </c>
      <c r="P188" s="57">
        <v>1</v>
      </c>
      <c r="Q188" s="57"/>
      <c r="R188" s="57"/>
      <c r="S188" s="57"/>
      <c r="T188" s="57"/>
      <c r="U188" s="15">
        <f t="shared" si="29"/>
        <v>2</v>
      </c>
    </row>
    <row r="189" spans="1:21" ht="21.95" customHeight="1" x14ac:dyDescent="0.2">
      <c r="A189" s="75"/>
      <c r="B189" s="80" t="s">
        <v>441</v>
      </c>
      <c r="C189" s="12" t="s">
        <v>442</v>
      </c>
      <c r="D189" s="49" t="s">
        <v>95</v>
      </c>
      <c r="E189" s="20">
        <f t="shared" si="28"/>
        <v>1</v>
      </c>
      <c r="F189" s="49" t="s">
        <v>66</v>
      </c>
      <c r="G189" s="48" t="s">
        <v>451</v>
      </c>
      <c r="H189" s="10" t="s">
        <v>452</v>
      </c>
      <c r="I189" s="57"/>
      <c r="J189" s="57"/>
      <c r="K189" s="57"/>
      <c r="L189" s="57"/>
      <c r="M189" s="57">
        <v>1</v>
      </c>
      <c r="N189" s="57"/>
      <c r="O189" s="57"/>
      <c r="P189" s="57"/>
      <c r="Q189" s="57"/>
      <c r="R189" s="57"/>
      <c r="S189" s="57"/>
      <c r="T189" s="57"/>
      <c r="U189" s="15">
        <f t="shared" si="29"/>
        <v>1</v>
      </c>
    </row>
    <row r="190" spans="1:21" ht="21.95" customHeight="1" x14ac:dyDescent="0.2">
      <c r="A190" s="75"/>
      <c r="B190" s="80" t="s">
        <v>443</v>
      </c>
      <c r="C190" s="12" t="s">
        <v>444</v>
      </c>
      <c r="D190" s="49" t="s">
        <v>95</v>
      </c>
      <c r="E190" s="20">
        <f t="shared" si="28"/>
        <v>1</v>
      </c>
      <c r="F190" s="49" t="s">
        <v>66</v>
      </c>
      <c r="G190" s="48" t="s">
        <v>451</v>
      </c>
      <c r="H190" s="10" t="s">
        <v>379</v>
      </c>
      <c r="I190" s="57"/>
      <c r="J190" s="57"/>
      <c r="K190" s="57"/>
      <c r="L190" s="57"/>
      <c r="M190" s="57">
        <v>1</v>
      </c>
      <c r="N190" s="57"/>
      <c r="O190" s="57"/>
      <c r="P190" s="57"/>
      <c r="Q190" s="57"/>
      <c r="R190" s="57"/>
      <c r="S190" s="57"/>
      <c r="T190" s="57"/>
      <c r="U190" s="15">
        <f t="shared" si="29"/>
        <v>1</v>
      </c>
    </row>
    <row r="191" spans="1:21" ht="21.95" customHeight="1" x14ac:dyDescent="0.2">
      <c r="B191" s="80" t="s">
        <v>322</v>
      </c>
      <c r="C191" s="12" t="s">
        <v>445</v>
      </c>
      <c r="D191" s="49" t="s">
        <v>49</v>
      </c>
      <c r="E191" s="20">
        <f t="shared" si="28"/>
        <v>4</v>
      </c>
      <c r="F191" s="49" t="s">
        <v>371</v>
      </c>
      <c r="G191" s="48" t="s">
        <v>453</v>
      </c>
      <c r="H191" s="10" t="s">
        <v>454</v>
      </c>
      <c r="I191" s="57"/>
      <c r="J191" s="57">
        <v>1</v>
      </c>
      <c r="K191" s="57">
        <v>1</v>
      </c>
      <c r="L191" s="57"/>
      <c r="M191" s="57"/>
      <c r="N191" s="57"/>
      <c r="O191" s="57">
        <v>2</v>
      </c>
      <c r="P191" s="57"/>
      <c r="Q191" s="57"/>
      <c r="R191" s="57"/>
      <c r="S191" s="57"/>
      <c r="T191" s="57"/>
      <c r="U191" s="15">
        <f t="shared" si="29"/>
        <v>4</v>
      </c>
    </row>
    <row r="192" spans="1:21" ht="21.95" customHeight="1" x14ac:dyDescent="0.2">
      <c r="B192" s="80" t="s">
        <v>323</v>
      </c>
      <c r="C192" s="12" t="s">
        <v>446</v>
      </c>
      <c r="D192" s="49" t="s">
        <v>49</v>
      </c>
      <c r="E192" s="20">
        <f t="shared" si="28"/>
        <v>3</v>
      </c>
      <c r="F192" s="49" t="s">
        <v>371</v>
      </c>
      <c r="G192" s="48" t="s">
        <v>453</v>
      </c>
      <c r="H192" s="10" t="s">
        <v>455</v>
      </c>
      <c r="I192" s="57"/>
      <c r="J192" s="57"/>
      <c r="K192" s="57">
        <v>1</v>
      </c>
      <c r="L192" s="57"/>
      <c r="M192" s="57">
        <v>1</v>
      </c>
      <c r="N192" s="57">
        <v>1</v>
      </c>
      <c r="O192" s="57"/>
      <c r="P192" s="57"/>
      <c r="Q192" s="57"/>
      <c r="R192" s="57"/>
      <c r="S192" s="57"/>
      <c r="T192" s="57"/>
      <c r="U192" s="15">
        <f t="shared" si="29"/>
        <v>3</v>
      </c>
    </row>
    <row r="193" spans="1:21" ht="21.95" customHeight="1" x14ac:dyDescent="0.2">
      <c r="B193" s="80" t="s">
        <v>324</v>
      </c>
      <c r="C193" s="12" t="s">
        <v>447</v>
      </c>
      <c r="D193" s="49" t="s">
        <v>49</v>
      </c>
      <c r="E193" s="20">
        <f t="shared" si="28"/>
        <v>8</v>
      </c>
      <c r="F193" s="49" t="s">
        <v>371</v>
      </c>
      <c r="G193" s="48" t="s">
        <v>60</v>
      </c>
      <c r="H193" s="10" t="s">
        <v>379</v>
      </c>
      <c r="I193" s="57">
        <v>2</v>
      </c>
      <c r="J193" s="57">
        <v>3</v>
      </c>
      <c r="K193" s="57"/>
      <c r="L193" s="57">
        <v>3</v>
      </c>
      <c r="M193" s="57"/>
      <c r="N193" s="57"/>
      <c r="O193" s="57"/>
      <c r="P193" s="57"/>
      <c r="Q193" s="57"/>
      <c r="R193" s="57"/>
      <c r="S193" s="57"/>
      <c r="T193" s="57"/>
      <c r="U193" s="15">
        <f t="shared" si="29"/>
        <v>8</v>
      </c>
    </row>
    <row r="194" spans="1:21" ht="21.95" customHeight="1" x14ac:dyDescent="0.2">
      <c r="B194" s="80" t="s">
        <v>448</v>
      </c>
      <c r="C194" s="12" t="s">
        <v>449</v>
      </c>
      <c r="D194" s="49" t="s">
        <v>450</v>
      </c>
      <c r="E194" s="20">
        <f t="shared" si="28"/>
        <v>2</v>
      </c>
      <c r="F194" s="49" t="s">
        <v>479</v>
      </c>
      <c r="G194" s="48" t="s">
        <v>55</v>
      </c>
      <c r="H194" s="10" t="s">
        <v>456</v>
      </c>
      <c r="I194" s="57"/>
      <c r="J194" s="57"/>
      <c r="K194" s="57"/>
      <c r="L194" s="57"/>
      <c r="M194" s="57"/>
      <c r="N194" s="57">
        <v>1</v>
      </c>
      <c r="O194" s="57"/>
      <c r="P194" s="57">
        <v>1</v>
      </c>
      <c r="Q194" s="57"/>
      <c r="R194" s="57"/>
      <c r="S194" s="57"/>
      <c r="T194" s="57"/>
      <c r="U194" s="15">
        <f t="shared" si="29"/>
        <v>2</v>
      </c>
    </row>
    <row r="195" spans="1:21" ht="21.95" customHeight="1" x14ac:dyDescent="0.2">
      <c r="B195" s="60" t="s">
        <v>67</v>
      </c>
      <c r="C195" s="60" t="s">
        <v>100</v>
      </c>
      <c r="D195" s="62"/>
      <c r="E195" s="62"/>
      <c r="F195" s="62"/>
      <c r="G195" s="62"/>
      <c r="H195" s="68"/>
      <c r="I195" s="62"/>
      <c r="J195" s="62"/>
      <c r="K195" s="62"/>
      <c r="L195" s="62"/>
      <c r="M195" s="62"/>
      <c r="N195" s="62"/>
      <c r="O195" s="62"/>
      <c r="P195" s="62"/>
      <c r="Q195" s="62"/>
      <c r="R195" s="62"/>
      <c r="S195" s="62"/>
      <c r="T195" s="62"/>
      <c r="U195" s="62"/>
    </row>
    <row r="196" spans="1:21" s="124" customFormat="1" ht="38.25" customHeight="1" x14ac:dyDescent="0.2">
      <c r="A196" s="122"/>
      <c r="B196" s="80" t="s">
        <v>717</v>
      </c>
      <c r="C196" s="12" t="s">
        <v>462</v>
      </c>
      <c r="D196" s="49" t="s">
        <v>376</v>
      </c>
      <c r="E196" s="20">
        <f>U196</f>
        <v>2</v>
      </c>
      <c r="F196" s="49" t="s">
        <v>70</v>
      </c>
      <c r="G196" s="57" t="s">
        <v>55</v>
      </c>
      <c r="H196" s="67" t="s">
        <v>467</v>
      </c>
      <c r="I196" s="123"/>
      <c r="J196" s="123"/>
      <c r="K196" s="123"/>
      <c r="L196" s="123"/>
      <c r="M196" s="123"/>
      <c r="N196" s="123"/>
      <c r="O196" s="123"/>
      <c r="P196" s="123"/>
      <c r="Q196" s="123">
        <v>2</v>
      </c>
      <c r="R196" s="123"/>
      <c r="S196" s="123"/>
      <c r="T196" s="123"/>
      <c r="U196" s="123">
        <f>SUM(I196:T196)</f>
        <v>2</v>
      </c>
    </row>
    <row r="197" spans="1:21" s="124" customFormat="1" ht="27.75" customHeight="1" x14ac:dyDescent="0.2">
      <c r="A197" s="122"/>
      <c r="B197" s="19" t="s">
        <v>718</v>
      </c>
      <c r="C197" s="12" t="s">
        <v>458</v>
      </c>
      <c r="D197" s="49" t="s">
        <v>376</v>
      </c>
      <c r="E197" s="20">
        <f>U197</f>
        <v>1</v>
      </c>
      <c r="F197" s="49" t="s">
        <v>70</v>
      </c>
      <c r="G197" s="57" t="s">
        <v>463</v>
      </c>
      <c r="H197" s="67" t="s">
        <v>466</v>
      </c>
      <c r="I197" s="123"/>
      <c r="J197" s="123"/>
      <c r="K197" s="123">
        <v>1</v>
      </c>
      <c r="L197" s="123"/>
      <c r="M197" s="123"/>
      <c r="N197" s="123"/>
      <c r="O197" s="123"/>
      <c r="P197" s="123"/>
      <c r="Q197" s="123"/>
      <c r="R197" s="123"/>
      <c r="S197" s="123"/>
      <c r="T197" s="123"/>
      <c r="U197" s="123">
        <f>SUM(I197:T197)</f>
        <v>1</v>
      </c>
    </row>
    <row r="198" spans="1:21" s="124" customFormat="1" ht="36" customHeight="1" x14ac:dyDescent="0.2">
      <c r="A198" s="122"/>
      <c r="B198" s="19" t="s">
        <v>719</v>
      </c>
      <c r="C198" s="12" t="s">
        <v>459</v>
      </c>
      <c r="D198" s="49" t="s">
        <v>376</v>
      </c>
      <c r="E198" s="20">
        <f>U198</f>
        <v>1</v>
      </c>
      <c r="F198" s="49" t="s">
        <v>70</v>
      </c>
      <c r="G198" s="57" t="s">
        <v>464</v>
      </c>
      <c r="H198" s="67" t="s">
        <v>466</v>
      </c>
      <c r="I198" s="123"/>
      <c r="J198" s="123"/>
      <c r="K198" s="123"/>
      <c r="L198" s="123">
        <v>1</v>
      </c>
      <c r="M198" s="123"/>
      <c r="N198" s="123"/>
      <c r="O198" s="123"/>
      <c r="P198" s="123"/>
      <c r="Q198" s="123"/>
      <c r="R198" s="123"/>
      <c r="S198" s="123"/>
      <c r="T198" s="123"/>
      <c r="U198" s="123">
        <f>SUM(I198:T198)</f>
        <v>1</v>
      </c>
    </row>
    <row r="199" spans="1:21" s="124" customFormat="1" ht="21.95" customHeight="1" x14ac:dyDescent="0.2">
      <c r="A199" s="122"/>
      <c r="B199" s="19" t="s">
        <v>720</v>
      </c>
      <c r="C199" s="12" t="s">
        <v>460</v>
      </c>
      <c r="D199" s="49" t="s">
        <v>376</v>
      </c>
      <c r="E199" s="20">
        <f>U199</f>
        <v>1</v>
      </c>
      <c r="F199" s="49" t="s">
        <v>70</v>
      </c>
      <c r="G199" s="57" t="s">
        <v>465</v>
      </c>
      <c r="H199" s="67" t="s">
        <v>466</v>
      </c>
      <c r="I199" s="123"/>
      <c r="J199" s="123"/>
      <c r="K199" s="123"/>
      <c r="L199" s="123"/>
      <c r="M199" s="123"/>
      <c r="N199" s="123"/>
      <c r="O199" s="123"/>
      <c r="P199" s="123"/>
      <c r="Q199" s="123"/>
      <c r="R199" s="123"/>
      <c r="S199" s="123">
        <v>1</v>
      </c>
      <c r="T199" s="123"/>
      <c r="U199" s="123">
        <f>SUM(I199:T199)</f>
        <v>1</v>
      </c>
    </row>
    <row r="200" spans="1:21" s="124" customFormat="1" ht="21.95" customHeight="1" x14ac:dyDescent="0.2">
      <c r="A200" s="122"/>
      <c r="B200" s="80" t="s">
        <v>721</v>
      </c>
      <c r="C200" s="150" t="s">
        <v>715</v>
      </c>
      <c r="D200" s="49" t="s">
        <v>376</v>
      </c>
      <c r="E200" s="20">
        <f>U200</f>
        <v>1</v>
      </c>
      <c r="F200" s="49" t="s">
        <v>70</v>
      </c>
      <c r="G200" s="57" t="s">
        <v>464</v>
      </c>
      <c r="H200" s="67" t="s">
        <v>716</v>
      </c>
      <c r="I200" s="123"/>
      <c r="J200" s="123"/>
      <c r="K200" s="123"/>
      <c r="L200" s="123"/>
      <c r="M200" s="123"/>
      <c r="N200" s="123"/>
      <c r="O200" s="123">
        <v>1</v>
      </c>
      <c r="P200" s="123"/>
      <c r="Q200" s="123"/>
      <c r="R200" s="123"/>
      <c r="S200" s="123"/>
      <c r="T200" s="123"/>
      <c r="U200" s="123">
        <f>SUM(I200:T200)</f>
        <v>1</v>
      </c>
    </row>
    <row r="201" spans="1:21" ht="21.95" customHeight="1" x14ac:dyDescent="0.2">
      <c r="B201" s="60" t="s">
        <v>78</v>
      </c>
      <c r="C201" s="60" t="s">
        <v>96</v>
      </c>
      <c r="D201" s="62"/>
      <c r="E201" s="62"/>
      <c r="F201" s="65"/>
      <c r="G201" s="62"/>
      <c r="H201" s="68"/>
      <c r="I201" s="62"/>
      <c r="J201" s="62"/>
      <c r="K201" s="62"/>
      <c r="L201" s="62"/>
      <c r="M201" s="62"/>
      <c r="N201" s="62"/>
      <c r="O201" s="62"/>
      <c r="P201" s="62"/>
      <c r="Q201" s="62"/>
      <c r="R201" s="62"/>
      <c r="S201" s="62"/>
      <c r="T201" s="62"/>
      <c r="U201" s="62"/>
    </row>
    <row r="202" spans="1:21" ht="20.25" customHeight="1" x14ac:dyDescent="0.2">
      <c r="B202" s="9" t="s">
        <v>327</v>
      </c>
      <c r="C202" s="12" t="s">
        <v>468</v>
      </c>
      <c r="D202" s="49" t="s">
        <v>474</v>
      </c>
      <c r="E202" s="20">
        <f>U202</f>
        <v>1</v>
      </c>
      <c r="F202" s="49" t="s">
        <v>477</v>
      </c>
      <c r="G202" s="48" t="s">
        <v>55</v>
      </c>
      <c r="H202" s="10" t="s">
        <v>480</v>
      </c>
      <c r="I202" s="63"/>
      <c r="J202" s="63"/>
      <c r="K202" s="63">
        <v>1</v>
      </c>
      <c r="L202" s="63"/>
      <c r="M202" s="63"/>
      <c r="N202" s="63"/>
      <c r="O202" s="57"/>
      <c r="P202" s="57"/>
      <c r="Q202" s="57"/>
      <c r="R202" s="63"/>
      <c r="S202" s="63"/>
      <c r="T202" s="63"/>
      <c r="U202" s="15">
        <f>SUM(I202:T202)</f>
        <v>1</v>
      </c>
    </row>
    <row r="203" spans="1:21" ht="21.75" customHeight="1" x14ac:dyDescent="0.2">
      <c r="A203" s="75"/>
      <c r="B203" s="9" t="s">
        <v>469</v>
      </c>
      <c r="C203" s="12" t="s">
        <v>470</v>
      </c>
      <c r="D203" s="49" t="s">
        <v>475</v>
      </c>
      <c r="E203" s="20">
        <f>U203</f>
        <v>1</v>
      </c>
      <c r="F203" s="48" t="s">
        <v>478</v>
      </c>
      <c r="G203" s="48" t="s">
        <v>55</v>
      </c>
      <c r="H203" s="10" t="s">
        <v>481</v>
      </c>
      <c r="I203" s="63"/>
      <c r="J203" s="63"/>
      <c r="K203" s="63"/>
      <c r="L203" s="63">
        <v>1</v>
      </c>
      <c r="M203" s="63"/>
      <c r="N203" s="63"/>
      <c r="O203" s="57"/>
      <c r="P203" s="57"/>
      <c r="Q203" s="57"/>
      <c r="R203" s="63"/>
      <c r="S203" s="63"/>
      <c r="T203" s="63"/>
      <c r="U203" s="15">
        <f>SUM(I203:T203)</f>
        <v>1</v>
      </c>
    </row>
    <row r="204" spans="1:21" ht="24.75" customHeight="1" x14ac:dyDescent="0.2">
      <c r="A204" s="75"/>
      <c r="B204" s="9" t="s">
        <v>471</v>
      </c>
      <c r="C204" s="12" t="s">
        <v>472</v>
      </c>
      <c r="D204" s="49" t="s">
        <v>476</v>
      </c>
      <c r="E204" s="20">
        <f>U204</f>
        <v>1</v>
      </c>
      <c r="F204" s="48" t="s">
        <v>373</v>
      </c>
      <c r="G204" s="63" t="s">
        <v>55</v>
      </c>
      <c r="H204" s="67" t="s">
        <v>482</v>
      </c>
      <c r="I204" s="63"/>
      <c r="J204" s="63"/>
      <c r="K204" s="63"/>
      <c r="L204" s="63"/>
      <c r="M204" s="63"/>
      <c r="N204" s="63"/>
      <c r="O204" s="57"/>
      <c r="P204" s="57"/>
      <c r="Q204" s="57"/>
      <c r="R204" s="63"/>
      <c r="S204" s="63"/>
      <c r="T204" s="63">
        <v>1</v>
      </c>
      <c r="U204" s="15">
        <f>SUM(I204:T204)</f>
        <v>1</v>
      </c>
    </row>
    <row r="205" spans="1:21" ht="24" x14ac:dyDescent="0.2">
      <c r="A205" s="75"/>
      <c r="B205" s="9" t="s">
        <v>473</v>
      </c>
      <c r="C205" s="12" t="s">
        <v>484</v>
      </c>
      <c r="D205" s="49" t="s">
        <v>450</v>
      </c>
      <c r="E205" s="20">
        <f>U205</f>
        <v>1</v>
      </c>
      <c r="F205" s="48" t="s">
        <v>479</v>
      </c>
      <c r="G205" s="48" t="s">
        <v>55</v>
      </c>
      <c r="H205" s="10" t="s">
        <v>483</v>
      </c>
      <c r="I205" s="63"/>
      <c r="J205" s="63"/>
      <c r="K205" s="63"/>
      <c r="L205" s="63"/>
      <c r="M205" s="63"/>
      <c r="N205" s="63">
        <v>1</v>
      </c>
      <c r="O205" s="57"/>
      <c r="P205" s="57"/>
      <c r="Q205" s="57"/>
      <c r="R205" s="63"/>
      <c r="S205" s="63"/>
      <c r="T205" s="63"/>
      <c r="U205" s="15">
        <f>SUM(I205:T205)</f>
        <v>1</v>
      </c>
    </row>
    <row r="206" spans="1:21" ht="21.95" customHeight="1" x14ac:dyDescent="0.2">
      <c r="B206" s="60" t="s">
        <v>90</v>
      </c>
      <c r="C206" s="60" t="s">
        <v>91</v>
      </c>
      <c r="D206" s="62"/>
      <c r="E206" s="62"/>
      <c r="F206" s="65"/>
      <c r="G206" s="62"/>
      <c r="H206" s="68"/>
      <c r="I206" s="62"/>
      <c r="J206" s="62"/>
      <c r="K206" s="62"/>
      <c r="L206" s="62"/>
      <c r="M206" s="62"/>
      <c r="N206" s="62"/>
      <c r="O206" s="62"/>
      <c r="P206" s="62"/>
      <c r="Q206" s="62"/>
      <c r="R206" s="62"/>
      <c r="S206" s="62"/>
      <c r="T206" s="62"/>
      <c r="U206" s="62"/>
    </row>
    <row r="207" spans="1:21" ht="29.25" customHeight="1" x14ac:dyDescent="0.2">
      <c r="B207" s="9" t="s">
        <v>328</v>
      </c>
      <c r="C207" s="12" t="s">
        <v>329</v>
      </c>
      <c r="D207" s="57" t="s">
        <v>372</v>
      </c>
      <c r="E207" s="20">
        <f>U207</f>
        <v>2</v>
      </c>
      <c r="F207" s="57" t="s">
        <v>70</v>
      </c>
      <c r="G207" s="57" t="s">
        <v>492</v>
      </c>
      <c r="H207" s="9" t="s">
        <v>647</v>
      </c>
      <c r="I207" s="57"/>
      <c r="J207" s="57"/>
      <c r="K207" s="57">
        <v>1</v>
      </c>
      <c r="L207" s="57"/>
      <c r="M207" s="57"/>
      <c r="N207" s="57"/>
      <c r="O207" s="57"/>
      <c r="P207" s="57"/>
      <c r="Q207" s="57"/>
      <c r="R207" s="57"/>
      <c r="S207" s="57"/>
      <c r="T207" s="57">
        <v>1</v>
      </c>
      <c r="U207" s="15">
        <f>SUM(I207:T207)</f>
        <v>2</v>
      </c>
    </row>
    <row r="208" spans="1:21" ht="21.95" customHeight="1" x14ac:dyDescent="0.2">
      <c r="A208" s="75"/>
      <c r="B208" s="9" t="s">
        <v>485</v>
      </c>
      <c r="C208" s="12" t="s">
        <v>486</v>
      </c>
      <c r="D208" s="57" t="s">
        <v>372</v>
      </c>
      <c r="E208" s="20">
        <f>U208</f>
        <v>1</v>
      </c>
      <c r="F208" s="57" t="s">
        <v>70</v>
      </c>
      <c r="G208" s="57" t="s">
        <v>492</v>
      </c>
      <c r="H208" s="9" t="s">
        <v>493</v>
      </c>
      <c r="I208" s="57"/>
      <c r="J208" s="57"/>
      <c r="K208" s="57"/>
      <c r="L208" s="57"/>
      <c r="M208" s="57">
        <v>1</v>
      </c>
      <c r="N208" s="57"/>
      <c r="O208" s="57"/>
      <c r="P208" s="57"/>
      <c r="Q208" s="57"/>
      <c r="R208" s="57"/>
      <c r="S208" s="57"/>
      <c r="T208" s="57"/>
      <c r="U208" s="15">
        <f>SUM(I208:T208)</f>
        <v>1</v>
      </c>
    </row>
    <row r="209" spans="1:21" ht="25.5" customHeight="1" x14ac:dyDescent="0.2">
      <c r="A209" s="75"/>
      <c r="B209" s="9" t="s">
        <v>487</v>
      </c>
      <c r="C209" s="12" t="s">
        <v>488</v>
      </c>
      <c r="D209" s="57" t="s">
        <v>372</v>
      </c>
      <c r="E209" s="20">
        <f>U209</f>
        <v>1</v>
      </c>
      <c r="F209" s="57" t="s">
        <v>70</v>
      </c>
      <c r="G209" s="57" t="s">
        <v>492</v>
      </c>
      <c r="H209" s="9" t="s">
        <v>494</v>
      </c>
      <c r="I209" s="57"/>
      <c r="J209" s="57"/>
      <c r="K209" s="57"/>
      <c r="L209" s="57"/>
      <c r="M209" s="57"/>
      <c r="N209" s="57"/>
      <c r="O209" s="57"/>
      <c r="P209" s="57"/>
      <c r="Q209" s="57"/>
      <c r="R209" s="57"/>
      <c r="S209" s="57">
        <v>1</v>
      </c>
      <c r="T209" s="57"/>
      <c r="U209" s="15">
        <f>SUM(I209:T209)</f>
        <v>1</v>
      </c>
    </row>
    <row r="210" spans="1:21" ht="21.95" customHeight="1" x14ac:dyDescent="0.2">
      <c r="A210" s="75"/>
      <c r="B210" s="9" t="s">
        <v>489</v>
      </c>
      <c r="C210" s="12" t="s">
        <v>490</v>
      </c>
      <c r="D210" s="75" t="s">
        <v>491</v>
      </c>
      <c r="E210" s="20">
        <f>U210</f>
        <v>1</v>
      </c>
      <c r="F210" s="75" t="s">
        <v>70</v>
      </c>
      <c r="G210" s="57" t="s">
        <v>492</v>
      </c>
      <c r="H210" s="9" t="s">
        <v>495</v>
      </c>
      <c r="I210" s="57"/>
      <c r="J210" s="57"/>
      <c r="K210" s="57"/>
      <c r="L210" s="57"/>
      <c r="M210" s="57"/>
      <c r="N210" s="57"/>
      <c r="O210" s="57"/>
      <c r="P210" s="57"/>
      <c r="Q210" s="57"/>
      <c r="R210" s="57">
        <v>1</v>
      </c>
      <c r="S210" s="57"/>
      <c r="T210" s="57"/>
      <c r="U210" s="15">
        <f>SUM(I210:T210)</f>
        <v>1</v>
      </c>
    </row>
    <row r="211" spans="1:21" ht="21.95" customHeight="1" x14ac:dyDescent="0.2">
      <c r="B211" s="130" t="s">
        <v>156</v>
      </c>
      <c r="C211" s="130"/>
      <c r="D211" s="47"/>
      <c r="E211" s="47"/>
      <c r="F211" s="47"/>
      <c r="G211" s="47"/>
      <c r="H211" s="64"/>
      <c r="I211" s="47"/>
      <c r="J211" s="47"/>
      <c r="K211" s="47"/>
      <c r="L211" s="47"/>
      <c r="M211" s="47"/>
      <c r="N211" s="47"/>
      <c r="O211" s="47"/>
      <c r="P211" s="47"/>
      <c r="Q211" s="47"/>
      <c r="R211" s="47"/>
      <c r="S211" s="47"/>
      <c r="T211" s="47"/>
      <c r="U211" s="47"/>
    </row>
    <row r="212" spans="1:21" ht="21.95" customHeight="1" x14ac:dyDescent="0.2">
      <c r="B212" s="129" t="s">
        <v>496</v>
      </c>
      <c r="C212" s="129"/>
      <c r="D212" s="65"/>
      <c r="E212" s="65"/>
      <c r="F212" s="65"/>
      <c r="G212" s="65"/>
      <c r="H212" s="60"/>
      <c r="I212" s="65"/>
      <c r="J212" s="65"/>
      <c r="K212" s="65"/>
      <c r="L212" s="65"/>
      <c r="M212" s="65"/>
      <c r="N212" s="65"/>
      <c r="O212" s="65"/>
      <c r="P212" s="65"/>
      <c r="Q212" s="65"/>
      <c r="R212" s="65"/>
      <c r="S212" s="65"/>
      <c r="T212" s="65"/>
      <c r="U212" s="62"/>
    </row>
    <row r="213" spans="1:21" ht="21.95" customHeight="1" x14ac:dyDescent="0.2">
      <c r="B213" s="19" t="s">
        <v>330</v>
      </c>
      <c r="C213" s="19" t="s">
        <v>497</v>
      </c>
      <c r="D213" s="49" t="s">
        <v>498</v>
      </c>
      <c r="E213" s="20">
        <f>U213</f>
        <v>3</v>
      </c>
      <c r="F213" s="49" t="s">
        <v>499</v>
      </c>
      <c r="G213" s="49" t="s">
        <v>499</v>
      </c>
      <c r="H213" s="10" t="s">
        <v>648</v>
      </c>
      <c r="I213" s="49"/>
      <c r="J213" s="49">
        <v>2</v>
      </c>
      <c r="K213" s="49"/>
      <c r="L213" s="49"/>
      <c r="M213" s="49"/>
      <c r="N213" s="49">
        <v>1</v>
      </c>
      <c r="O213" s="49"/>
      <c r="P213" s="49"/>
      <c r="Q213" s="49"/>
      <c r="R213" s="49"/>
      <c r="S213" s="49"/>
      <c r="T213" s="49"/>
      <c r="U213" s="15">
        <f>SUM(I213:T213)</f>
        <v>3</v>
      </c>
    </row>
    <row r="214" spans="1:21" ht="21.95" customHeight="1" x14ac:dyDescent="0.2">
      <c r="B214" s="129" t="s">
        <v>500</v>
      </c>
      <c r="C214" s="129"/>
      <c r="D214" s="62"/>
      <c r="E214" s="62"/>
      <c r="F214" s="62"/>
      <c r="G214" s="62"/>
      <c r="H214" s="68"/>
      <c r="I214" s="62"/>
      <c r="J214" s="62"/>
      <c r="K214" s="62"/>
      <c r="L214" s="62"/>
      <c r="M214" s="62"/>
      <c r="N214" s="62"/>
      <c r="O214" s="62"/>
      <c r="P214" s="62"/>
      <c r="Q214" s="62"/>
      <c r="R214" s="62"/>
      <c r="S214" s="62"/>
      <c r="T214" s="62"/>
      <c r="U214" s="62"/>
    </row>
    <row r="215" spans="1:21" ht="25.5" customHeight="1" x14ac:dyDescent="0.2">
      <c r="B215" s="19" t="s">
        <v>331</v>
      </c>
      <c r="C215" s="19" t="s">
        <v>501</v>
      </c>
      <c r="D215" s="49" t="s">
        <v>498</v>
      </c>
      <c r="E215" s="20">
        <f>U215</f>
        <v>2</v>
      </c>
      <c r="F215" s="49" t="s">
        <v>499</v>
      </c>
      <c r="G215" s="49" t="s">
        <v>499</v>
      </c>
      <c r="H215" s="10" t="s">
        <v>380</v>
      </c>
      <c r="I215" s="57"/>
      <c r="J215" s="57">
        <v>1</v>
      </c>
      <c r="K215" s="57"/>
      <c r="L215" s="57"/>
      <c r="M215" s="57"/>
      <c r="N215" s="57">
        <v>1</v>
      </c>
      <c r="O215" s="57"/>
      <c r="P215" s="57"/>
      <c r="Q215" s="57"/>
      <c r="R215" s="57"/>
      <c r="S215" s="57"/>
      <c r="T215" s="57"/>
      <c r="U215" s="15">
        <f>SUM(I215:T215)</f>
        <v>2</v>
      </c>
    </row>
  </sheetData>
  <mergeCells count="12">
    <mergeCell ref="B212:C212"/>
    <mergeCell ref="B214:C214"/>
    <mergeCell ref="B211:C211"/>
    <mergeCell ref="B170:C170"/>
    <mergeCell ref="H2:H3"/>
    <mergeCell ref="I2:T2"/>
    <mergeCell ref="U2:U3"/>
    <mergeCell ref="E2:E3"/>
    <mergeCell ref="B2:C3"/>
    <mergeCell ref="D2:D3"/>
    <mergeCell ref="F2:F3"/>
    <mergeCell ref="G2:G3"/>
  </mergeCells>
  <phoneticPr fontId="3" type="noConversion"/>
  <conditionalFormatting sqref="I77:T162 I4:T75 I164:T169">
    <cfRule type="cellIs" dxfId="3" priority="3" operator="greaterThan">
      <formula>0</formula>
    </cfRule>
    <cfRule type="cellIs" dxfId="2" priority="4" operator="greaterThan">
      <formula>0</formula>
    </cfRule>
  </conditionalFormatting>
  <conditionalFormatting sqref="I186:U186 I187:T194 I195:U201 I202:T205 I206:U206 I207:T210 I211:U212 I213:T213 I214:U214 I215:T215 I172:T185">
    <cfRule type="cellIs" dxfId="1" priority="2" operator="greaterThan">
      <formula>0</formula>
    </cfRule>
  </conditionalFormatting>
  <conditionalFormatting sqref="I163:U163">
    <cfRule type="cellIs" dxfId="0" priority="1" operator="greater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2769-4BF6-4836-94AC-2A81972A7F73}">
  <dimension ref="B1:I127"/>
  <sheetViews>
    <sheetView topLeftCell="A100" workbookViewId="0">
      <selection activeCell="I68" sqref="I68"/>
    </sheetView>
  </sheetViews>
  <sheetFormatPr baseColWidth="10" defaultRowHeight="12.75" x14ac:dyDescent="0.2"/>
  <cols>
    <col min="1" max="2" width="11.42578125" customWidth="1"/>
    <col min="4" max="4" width="9.5703125" customWidth="1"/>
    <col min="5" max="5" width="9.42578125" customWidth="1"/>
    <col min="6" max="6" width="8.5703125" customWidth="1"/>
    <col min="7" max="7" width="14.5703125" customWidth="1"/>
    <col min="8" max="8" width="53.85546875" customWidth="1"/>
    <col min="9" max="9" width="25.85546875" customWidth="1"/>
  </cols>
  <sheetData>
    <row r="1" spans="2:9" ht="21.95" customHeight="1" x14ac:dyDescent="0.25">
      <c r="B1" s="83" t="s">
        <v>509</v>
      </c>
    </row>
    <row r="2" spans="2:9" ht="21.95" customHeight="1" x14ac:dyDescent="0.2">
      <c r="B2" s="137" t="s">
        <v>583</v>
      </c>
      <c r="C2" s="137"/>
      <c r="D2" s="137"/>
      <c r="E2" s="137"/>
      <c r="F2" s="137"/>
      <c r="G2" s="137"/>
      <c r="H2" s="137"/>
      <c r="I2" s="137"/>
    </row>
    <row r="3" spans="2:9" ht="21.95" customHeight="1" x14ac:dyDescent="0.25">
      <c r="B3" s="83"/>
    </row>
    <row r="4" spans="2:9" ht="21.95" customHeight="1" x14ac:dyDescent="0.2">
      <c r="B4" s="137" t="s">
        <v>584</v>
      </c>
      <c r="C4" s="137"/>
      <c r="D4" s="137"/>
      <c r="E4" s="137"/>
      <c r="F4" s="137"/>
      <c r="G4" s="137"/>
      <c r="H4" s="137"/>
      <c r="I4" s="137"/>
    </row>
    <row r="5" spans="2:9" ht="21.95" customHeight="1" x14ac:dyDescent="0.2">
      <c r="B5" s="31" t="s">
        <v>19</v>
      </c>
      <c r="C5" s="136" t="s">
        <v>20</v>
      </c>
      <c r="D5" s="136"/>
      <c r="E5" s="136"/>
      <c r="F5" s="136"/>
      <c r="G5" s="136"/>
      <c r="H5" s="34" t="s">
        <v>517</v>
      </c>
      <c r="I5" s="34" t="s">
        <v>512</v>
      </c>
    </row>
    <row r="6" spans="2:9" ht="21.95" customHeight="1" x14ac:dyDescent="0.2">
      <c r="B6" s="136" t="s">
        <v>516</v>
      </c>
      <c r="C6" s="136"/>
      <c r="D6" s="136"/>
      <c r="E6" s="136"/>
      <c r="F6" s="136"/>
      <c r="G6" s="136"/>
      <c r="H6" s="34"/>
      <c r="I6" s="34"/>
    </row>
    <row r="7" spans="2:9" ht="27" customHeight="1" x14ac:dyDescent="0.2">
      <c r="B7" s="97"/>
      <c r="C7" s="134" t="s">
        <v>657</v>
      </c>
      <c r="D7" s="134"/>
      <c r="E7" s="134"/>
      <c r="F7" s="134"/>
      <c r="G7" s="134"/>
      <c r="H7" s="96" t="s">
        <v>656</v>
      </c>
      <c r="I7" s="101">
        <v>59760</v>
      </c>
    </row>
    <row r="8" spans="2:9" ht="21.95" customHeight="1" x14ac:dyDescent="0.2">
      <c r="B8" s="97"/>
      <c r="C8" s="134" t="s">
        <v>658</v>
      </c>
      <c r="D8" s="134"/>
      <c r="E8" s="134"/>
      <c r="F8" s="134"/>
      <c r="G8" s="134"/>
      <c r="H8" s="90" t="s">
        <v>655</v>
      </c>
      <c r="I8" s="101">
        <v>58848</v>
      </c>
    </row>
    <row r="9" spans="2:9" ht="21.95" customHeight="1" x14ac:dyDescent="0.2">
      <c r="B9" s="97"/>
      <c r="C9" s="144" t="s">
        <v>582</v>
      </c>
      <c r="D9" s="144"/>
      <c r="E9" s="144"/>
      <c r="F9" s="144"/>
      <c r="G9" s="144"/>
      <c r="H9" s="144"/>
      <c r="I9" s="88">
        <f>SUM(I7:I8)</f>
        <v>118608</v>
      </c>
    </row>
    <row r="10" spans="2:9" ht="21.95" customHeight="1" x14ac:dyDescent="0.2">
      <c r="B10" s="31" t="s">
        <v>51</v>
      </c>
      <c r="C10" s="136" t="s">
        <v>52</v>
      </c>
      <c r="D10" s="136"/>
      <c r="E10" s="136"/>
      <c r="F10" s="136"/>
      <c r="G10" s="136"/>
      <c r="H10" s="34" t="s">
        <v>517</v>
      </c>
      <c r="I10" s="34" t="s">
        <v>512</v>
      </c>
    </row>
    <row r="11" spans="2:9" ht="21.95" customHeight="1" x14ac:dyDescent="0.2">
      <c r="B11" s="86"/>
      <c r="C11" s="139" t="s">
        <v>510</v>
      </c>
      <c r="D11" s="139"/>
      <c r="E11" s="139"/>
      <c r="F11" s="139"/>
      <c r="G11" s="139"/>
      <c r="H11" s="90" t="s">
        <v>659</v>
      </c>
      <c r="I11" s="87">
        <v>32976</v>
      </c>
    </row>
    <row r="12" spans="2:9" ht="21.95" customHeight="1" x14ac:dyDescent="0.2">
      <c r="B12" s="86"/>
      <c r="C12" s="139" t="s">
        <v>511</v>
      </c>
      <c r="D12" s="139"/>
      <c r="E12" s="139"/>
      <c r="F12" s="139"/>
      <c r="G12" s="139"/>
      <c r="H12" s="90" t="s">
        <v>660</v>
      </c>
      <c r="I12" s="87">
        <v>38600</v>
      </c>
    </row>
    <row r="13" spans="2:9" ht="21.95" customHeight="1" x14ac:dyDescent="0.2">
      <c r="C13" s="144" t="s">
        <v>582</v>
      </c>
      <c r="D13" s="144"/>
      <c r="E13" s="144"/>
      <c r="F13" s="144"/>
      <c r="G13" s="144"/>
      <c r="H13" s="144"/>
      <c r="I13" s="88">
        <f>SUM(I11:I12)</f>
        <v>71576</v>
      </c>
    </row>
    <row r="14" spans="2:9" ht="21.95" customHeight="1" x14ac:dyDescent="0.2">
      <c r="B14" s="31" t="s">
        <v>78</v>
      </c>
      <c r="C14" s="136" t="s">
        <v>96</v>
      </c>
      <c r="D14" s="136"/>
      <c r="E14" s="136"/>
      <c r="F14" s="136"/>
      <c r="G14" s="136"/>
      <c r="H14" s="34" t="s">
        <v>517</v>
      </c>
      <c r="I14" s="34" t="s">
        <v>512</v>
      </c>
    </row>
    <row r="15" spans="2:9" ht="21.95" customHeight="1" x14ac:dyDescent="0.2">
      <c r="C15" s="134" t="s">
        <v>514</v>
      </c>
      <c r="D15" s="134"/>
      <c r="E15" s="134"/>
      <c r="F15" s="134"/>
      <c r="G15" s="134"/>
      <c r="H15" s="90" t="s">
        <v>661</v>
      </c>
      <c r="I15" s="87">
        <v>15000</v>
      </c>
    </row>
    <row r="16" spans="2:9" ht="21.95" customHeight="1" x14ac:dyDescent="0.2">
      <c r="C16" s="134" t="s">
        <v>515</v>
      </c>
      <c r="D16" s="134"/>
      <c r="E16" s="134"/>
      <c r="F16" s="134"/>
      <c r="G16" s="134"/>
      <c r="H16" s="90" t="s">
        <v>661</v>
      </c>
      <c r="I16" s="87">
        <v>20400</v>
      </c>
    </row>
    <row r="17" spans="2:9" ht="21.95" customHeight="1" x14ac:dyDescent="0.2">
      <c r="C17" s="144" t="s">
        <v>582</v>
      </c>
      <c r="D17" s="144"/>
      <c r="E17" s="144"/>
      <c r="F17" s="144"/>
      <c r="G17" s="144"/>
      <c r="H17" s="144"/>
      <c r="I17" s="88">
        <f>SUM(I15:I16)</f>
        <v>35400</v>
      </c>
    </row>
    <row r="18" spans="2:9" ht="21.95" customHeight="1" x14ac:dyDescent="0.2">
      <c r="B18" s="113"/>
      <c r="C18" s="132" t="s">
        <v>513</v>
      </c>
      <c r="D18" s="132"/>
      <c r="E18" s="132"/>
      <c r="F18" s="132"/>
      <c r="G18" s="132"/>
      <c r="H18" s="132"/>
      <c r="I18" s="114">
        <f>SUM(I9,I13,I17)</f>
        <v>225584</v>
      </c>
    </row>
    <row r="19" spans="2:9" ht="21.95" customHeight="1" x14ac:dyDescent="0.2">
      <c r="B19" s="137" t="s">
        <v>585</v>
      </c>
      <c r="C19" s="138"/>
      <c r="D19" s="138"/>
      <c r="E19" s="138"/>
      <c r="F19" s="138"/>
      <c r="G19" s="138"/>
      <c r="H19" s="138"/>
      <c r="I19" s="138"/>
    </row>
    <row r="20" spans="2:9" ht="21.95" customHeight="1" x14ac:dyDescent="0.2">
      <c r="B20" s="31" t="s">
        <v>19</v>
      </c>
      <c r="C20" s="136" t="s">
        <v>20</v>
      </c>
      <c r="D20" s="136"/>
      <c r="E20" s="136"/>
      <c r="F20" s="136"/>
      <c r="G20" s="136"/>
      <c r="H20" s="34" t="s">
        <v>517</v>
      </c>
      <c r="I20" s="34" t="s">
        <v>512</v>
      </c>
    </row>
    <row r="21" spans="2:9" ht="21.95" customHeight="1" x14ac:dyDescent="0.2">
      <c r="B21" s="136" t="s">
        <v>516</v>
      </c>
      <c r="C21" s="136"/>
      <c r="D21" s="136"/>
      <c r="E21" s="136"/>
      <c r="F21" s="136"/>
      <c r="G21" s="136"/>
      <c r="H21" s="34"/>
      <c r="I21" s="34"/>
    </row>
    <row r="22" spans="2:9" ht="121.5" customHeight="1" x14ac:dyDescent="0.2">
      <c r="B22" s="86" t="s">
        <v>127</v>
      </c>
      <c r="C22" s="140" t="s">
        <v>128</v>
      </c>
      <c r="D22" s="140"/>
      <c r="E22" s="140"/>
      <c r="F22" s="140"/>
      <c r="G22" s="140"/>
      <c r="H22" s="96" t="s">
        <v>664</v>
      </c>
      <c r="I22" s="102">
        <v>25000</v>
      </c>
    </row>
    <row r="23" spans="2:9" ht="21.95" customHeight="1" x14ac:dyDescent="0.2">
      <c r="B23" s="31" t="s">
        <v>51</v>
      </c>
      <c r="C23" s="136" t="s">
        <v>52</v>
      </c>
      <c r="D23" s="136"/>
      <c r="E23" s="136"/>
      <c r="F23" s="136"/>
      <c r="G23" s="136"/>
      <c r="H23" s="34" t="s">
        <v>517</v>
      </c>
      <c r="I23" s="34" t="s">
        <v>512</v>
      </c>
    </row>
    <row r="24" spans="2:9" ht="71.25" customHeight="1" x14ac:dyDescent="0.2">
      <c r="B24" s="134" t="s">
        <v>135</v>
      </c>
      <c r="C24" s="140" t="s">
        <v>136</v>
      </c>
      <c r="D24" s="140"/>
      <c r="E24" s="140"/>
      <c r="F24" s="140"/>
      <c r="G24" s="140"/>
      <c r="H24" s="95" t="s">
        <v>662</v>
      </c>
      <c r="I24" s="102">
        <v>40000</v>
      </c>
    </row>
    <row r="25" spans="2:9" ht="38.25" customHeight="1" x14ac:dyDescent="0.2">
      <c r="B25" s="134"/>
      <c r="C25" s="140"/>
      <c r="D25" s="140"/>
      <c r="E25" s="140"/>
      <c r="F25" s="140"/>
      <c r="G25" s="140"/>
      <c r="H25" s="95" t="s">
        <v>663</v>
      </c>
      <c r="I25" s="102">
        <v>8000</v>
      </c>
    </row>
    <row r="26" spans="2:9" ht="14.25" customHeight="1" x14ac:dyDescent="0.2">
      <c r="B26" s="89"/>
      <c r="C26" s="144" t="s">
        <v>582</v>
      </c>
      <c r="D26" s="144"/>
      <c r="E26" s="144"/>
      <c r="F26" s="144"/>
      <c r="G26" s="144"/>
      <c r="H26" s="144"/>
      <c r="I26" s="93">
        <f>SUM(I24:I25)</f>
        <v>48000</v>
      </c>
    </row>
    <row r="27" spans="2:9" ht="21.95" customHeight="1" x14ac:dyDescent="0.2">
      <c r="B27" s="31" t="s">
        <v>78</v>
      </c>
      <c r="C27" s="136" t="s">
        <v>96</v>
      </c>
      <c r="D27" s="136"/>
      <c r="E27" s="136"/>
      <c r="F27" s="136"/>
      <c r="G27" s="136"/>
      <c r="H27" s="34" t="s">
        <v>517</v>
      </c>
      <c r="I27" s="34" t="s">
        <v>512</v>
      </c>
    </row>
    <row r="28" spans="2:9" ht="50.25" customHeight="1" x14ac:dyDescent="0.2">
      <c r="B28" s="98" t="s">
        <v>97</v>
      </c>
      <c r="C28" s="146" t="s">
        <v>146</v>
      </c>
      <c r="D28" s="146"/>
      <c r="E28" s="146"/>
      <c r="F28" s="146"/>
      <c r="G28" s="146"/>
      <c r="H28" s="96" t="s">
        <v>665</v>
      </c>
      <c r="I28" s="102">
        <v>80000</v>
      </c>
    </row>
    <row r="29" spans="2:9" ht="21.75" customHeight="1" x14ac:dyDescent="0.2">
      <c r="B29" s="115"/>
      <c r="C29" s="145" t="s">
        <v>513</v>
      </c>
      <c r="D29" s="145"/>
      <c r="E29" s="145"/>
      <c r="F29" s="145"/>
      <c r="G29" s="145"/>
      <c r="H29" s="145"/>
      <c r="I29" s="116">
        <f>SUM(I22,I26,I28)</f>
        <v>153000</v>
      </c>
    </row>
    <row r="30" spans="2:9" ht="21.95" customHeight="1" x14ac:dyDescent="0.2">
      <c r="B30" s="137" t="s">
        <v>586</v>
      </c>
      <c r="C30" s="138"/>
      <c r="D30" s="138"/>
      <c r="E30" s="138"/>
      <c r="F30" s="138"/>
      <c r="G30" s="138"/>
      <c r="H30" s="138"/>
      <c r="I30" s="138"/>
    </row>
    <row r="31" spans="2:9" ht="21.95" customHeight="1" x14ac:dyDescent="0.2">
      <c r="B31" s="31" t="s">
        <v>19</v>
      </c>
      <c r="C31" s="136" t="s">
        <v>20</v>
      </c>
      <c r="D31" s="136"/>
      <c r="E31" s="136"/>
      <c r="F31" s="136"/>
      <c r="G31" s="136"/>
      <c r="H31" s="34" t="s">
        <v>517</v>
      </c>
      <c r="I31" s="34" t="s">
        <v>512</v>
      </c>
    </row>
    <row r="32" spans="2:9" ht="21.95" customHeight="1" x14ac:dyDescent="0.2">
      <c r="B32" s="136" t="s">
        <v>516</v>
      </c>
      <c r="C32" s="136"/>
      <c r="D32" s="136"/>
      <c r="E32" s="136"/>
      <c r="F32" s="136"/>
      <c r="G32" s="136"/>
      <c r="H32" s="34"/>
      <c r="I32" s="34"/>
    </row>
    <row r="33" spans="2:9" ht="25.5" x14ac:dyDescent="0.2">
      <c r="C33" s="134" t="s">
        <v>518</v>
      </c>
      <c r="D33" s="134"/>
      <c r="E33" s="134"/>
      <c r="F33" s="134"/>
      <c r="G33" s="134"/>
      <c r="H33" s="92" t="s">
        <v>519</v>
      </c>
      <c r="I33" s="102">
        <v>24895</v>
      </c>
    </row>
    <row r="34" spans="2:9" x14ac:dyDescent="0.2">
      <c r="B34" s="31" t="s">
        <v>51</v>
      </c>
      <c r="C34" s="136" t="s">
        <v>52</v>
      </c>
      <c r="D34" s="136"/>
      <c r="E34" s="136"/>
      <c r="F34" s="136"/>
      <c r="G34" s="136"/>
      <c r="H34" s="34" t="s">
        <v>517</v>
      </c>
      <c r="I34" s="34" t="s">
        <v>512</v>
      </c>
    </row>
    <row r="35" spans="2:9" ht="25.5" x14ac:dyDescent="0.2">
      <c r="C35" s="139" t="s">
        <v>520</v>
      </c>
      <c r="D35" s="139"/>
      <c r="E35" s="139"/>
      <c r="F35" s="139"/>
      <c r="G35" s="139"/>
      <c r="H35" s="85" t="s">
        <v>521</v>
      </c>
      <c r="I35" s="102">
        <v>5180</v>
      </c>
    </row>
    <row r="36" spans="2:9" x14ac:dyDescent="0.2">
      <c r="C36" s="146" t="s">
        <v>522</v>
      </c>
      <c r="D36" s="146"/>
      <c r="E36" s="146"/>
      <c r="F36" s="146"/>
      <c r="G36" s="146"/>
      <c r="H36" s="84" t="s">
        <v>523</v>
      </c>
      <c r="I36" s="102">
        <v>26000</v>
      </c>
    </row>
    <row r="37" spans="2:9" ht="21" customHeight="1" x14ac:dyDescent="0.2">
      <c r="C37" s="146" t="s">
        <v>524</v>
      </c>
      <c r="D37" s="146"/>
      <c r="E37" s="146"/>
      <c r="F37" s="146"/>
      <c r="G37" s="146"/>
      <c r="H37" s="84" t="s">
        <v>523</v>
      </c>
      <c r="I37" s="102">
        <v>6600</v>
      </c>
    </row>
    <row r="38" spans="2:9" ht="25.5" x14ac:dyDescent="0.2">
      <c r="C38" s="140" t="s">
        <v>525</v>
      </c>
      <c r="D38" s="140"/>
      <c r="E38" s="140"/>
      <c r="F38" s="140"/>
      <c r="G38" s="140"/>
      <c r="H38" s="94" t="s">
        <v>526</v>
      </c>
      <c r="I38" s="102">
        <v>2019</v>
      </c>
    </row>
    <row r="39" spans="2:9" ht="12.75" customHeight="1" x14ac:dyDescent="0.2">
      <c r="C39" s="140" t="s">
        <v>540</v>
      </c>
      <c r="D39" s="140"/>
      <c r="E39" s="140"/>
      <c r="F39" s="140"/>
      <c r="G39" s="140"/>
      <c r="H39" s="94" t="s">
        <v>666</v>
      </c>
      <c r="I39" s="102">
        <v>3365</v>
      </c>
    </row>
    <row r="40" spans="2:9" ht="25.5" customHeight="1" x14ac:dyDescent="0.2">
      <c r="C40" s="140" t="s">
        <v>539</v>
      </c>
      <c r="D40" s="140"/>
      <c r="E40" s="140"/>
      <c r="F40" s="140"/>
      <c r="G40" s="140"/>
      <c r="H40" s="95" t="s">
        <v>667</v>
      </c>
      <c r="I40" s="102">
        <v>866</v>
      </c>
    </row>
    <row r="41" spans="2:9" ht="25.5" customHeight="1" x14ac:dyDescent="0.2">
      <c r="C41" s="133" t="s">
        <v>582</v>
      </c>
      <c r="D41" s="133"/>
      <c r="E41" s="133"/>
      <c r="F41" s="133"/>
      <c r="G41" s="133"/>
      <c r="H41" s="133"/>
      <c r="I41" s="93">
        <f>SUM(I35:I40)</f>
        <v>44030</v>
      </c>
    </row>
    <row r="42" spans="2:9" ht="24" customHeight="1" x14ac:dyDescent="0.2">
      <c r="B42" s="31" t="s">
        <v>67</v>
      </c>
      <c r="C42" s="136" t="s">
        <v>100</v>
      </c>
      <c r="D42" s="136"/>
      <c r="E42" s="136"/>
      <c r="F42" s="136"/>
      <c r="G42" s="136"/>
      <c r="H42" s="34" t="s">
        <v>517</v>
      </c>
      <c r="I42" s="34" t="s">
        <v>512</v>
      </c>
    </row>
    <row r="43" spans="2:9" x14ac:dyDescent="0.2">
      <c r="C43" s="134" t="s">
        <v>527</v>
      </c>
      <c r="D43" s="134"/>
      <c r="E43" s="134"/>
      <c r="F43" s="134"/>
      <c r="G43" s="134"/>
      <c r="H43" s="84" t="s">
        <v>528</v>
      </c>
      <c r="I43" s="102">
        <v>80000</v>
      </c>
    </row>
    <row r="44" spans="2:9" ht="21.75" customHeight="1" x14ac:dyDescent="0.2">
      <c r="C44" s="146" t="s">
        <v>529</v>
      </c>
      <c r="D44" s="146"/>
      <c r="E44" s="146"/>
      <c r="F44" s="146"/>
      <c r="G44" s="146"/>
      <c r="H44" s="92" t="s">
        <v>530</v>
      </c>
      <c r="I44" s="102">
        <v>15000</v>
      </c>
    </row>
    <row r="45" spans="2:9" ht="30" customHeight="1" x14ac:dyDescent="0.2">
      <c r="C45" s="146" t="s">
        <v>531</v>
      </c>
      <c r="D45" s="146"/>
      <c r="E45" s="146"/>
      <c r="F45" s="146"/>
      <c r="G45" s="146"/>
      <c r="H45" s="92" t="s">
        <v>532</v>
      </c>
      <c r="I45" s="102">
        <v>15000</v>
      </c>
    </row>
    <row r="46" spans="2:9" ht="24.75" customHeight="1" x14ac:dyDescent="0.2">
      <c r="C46" s="134" t="s">
        <v>533</v>
      </c>
      <c r="D46" s="134"/>
      <c r="E46" s="134"/>
      <c r="F46" s="134"/>
      <c r="G46" s="134"/>
      <c r="H46" s="90" t="s">
        <v>534</v>
      </c>
      <c r="I46" s="102">
        <v>15000</v>
      </c>
    </row>
    <row r="47" spans="2:9" x14ac:dyDescent="0.2">
      <c r="C47" s="144" t="s">
        <v>582</v>
      </c>
      <c r="D47" s="144"/>
      <c r="E47" s="144"/>
      <c r="F47" s="144"/>
      <c r="G47" s="144"/>
      <c r="H47" s="144"/>
      <c r="I47" s="93">
        <f>SUM(I43:I46)</f>
        <v>125000</v>
      </c>
    </row>
    <row r="48" spans="2:9" ht="21.75" customHeight="1" x14ac:dyDescent="0.2">
      <c r="B48" s="31" t="s">
        <v>78</v>
      </c>
      <c r="C48" s="136" t="s">
        <v>96</v>
      </c>
      <c r="D48" s="136"/>
      <c r="E48" s="136"/>
      <c r="F48" s="136"/>
      <c r="G48" s="136"/>
      <c r="H48" s="34" t="s">
        <v>517</v>
      </c>
      <c r="I48" s="34" t="s">
        <v>512</v>
      </c>
    </row>
    <row r="49" spans="2:9" x14ac:dyDescent="0.2">
      <c r="C49" s="134" t="s">
        <v>535</v>
      </c>
      <c r="D49" s="134"/>
      <c r="E49" s="134"/>
      <c r="F49" s="134"/>
      <c r="G49" s="134"/>
      <c r="H49" s="84" t="s">
        <v>536</v>
      </c>
      <c r="I49" s="102">
        <v>36000</v>
      </c>
    </row>
    <row r="50" spans="2:9" ht="12.75" customHeight="1" x14ac:dyDescent="0.2">
      <c r="C50" s="140" t="s">
        <v>537</v>
      </c>
      <c r="D50" s="140"/>
      <c r="E50" s="140"/>
      <c r="F50" s="140"/>
      <c r="G50" s="140"/>
      <c r="H50" s="84" t="s">
        <v>538</v>
      </c>
      <c r="I50" s="102">
        <v>40000</v>
      </c>
    </row>
    <row r="51" spans="2:9" x14ac:dyDescent="0.2">
      <c r="C51" s="133" t="s">
        <v>582</v>
      </c>
      <c r="D51" s="133"/>
      <c r="E51" s="133"/>
      <c r="F51" s="133"/>
      <c r="G51" s="133"/>
      <c r="H51" s="84"/>
      <c r="I51" s="93">
        <f>SUM(I49:I50)</f>
        <v>76000</v>
      </c>
    </row>
    <row r="52" spans="2:9" x14ac:dyDescent="0.2">
      <c r="B52" s="31" t="s">
        <v>541</v>
      </c>
      <c r="C52" s="136"/>
      <c r="D52" s="136"/>
      <c r="E52" s="136"/>
      <c r="F52" s="136"/>
      <c r="G52" s="136"/>
      <c r="H52" s="31"/>
      <c r="I52" s="33"/>
    </row>
    <row r="53" spans="2:9" x14ac:dyDescent="0.2">
      <c r="C53" s="134" t="s">
        <v>542</v>
      </c>
      <c r="D53" s="134"/>
      <c r="E53" s="134"/>
      <c r="F53" s="134"/>
      <c r="G53" s="134"/>
      <c r="H53" s="84" t="s">
        <v>543</v>
      </c>
      <c r="I53" s="102">
        <v>600</v>
      </c>
    </row>
    <row r="54" spans="2:9" ht="17.25" customHeight="1" x14ac:dyDescent="0.2">
      <c r="B54" s="117"/>
      <c r="C54" s="145" t="s">
        <v>513</v>
      </c>
      <c r="D54" s="145"/>
      <c r="E54" s="145"/>
      <c r="F54" s="145"/>
      <c r="G54" s="145"/>
      <c r="H54" s="145"/>
      <c r="I54" s="116">
        <f>SUM(I33,I41,I47,I51,I53)</f>
        <v>270525</v>
      </c>
    </row>
    <row r="55" spans="2:9" ht="21.95" customHeight="1" x14ac:dyDescent="0.2">
      <c r="B55" s="137" t="s">
        <v>587</v>
      </c>
      <c r="C55" s="138"/>
      <c r="D55" s="138"/>
      <c r="E55" s="138"/>
      <c r="F55" s="138"/>
      <c r="G55" s="138"/>
      <c r="H55" s="138"/>
      <c r="I55" s="138"/>
    </row>
    <row r="56" spans="2:9" ht="16.5" customHeight="1" x14ac:dyDescent="0.2">
      <c r="C56" s="141" t="s">
        <v>544</v>
      </c>
      <c r="D56" s="141"/>
      <c r="E56" s="141"/>
      <c r="F56" s="141"/>
      <c r="G56" s="141"/>
      <c r="H56" s="99" t="s">
        <v>556</v>
      </c>
      <c r="I56" s="103">
        <v>4000</v>
      </c>
    </row>
    <row r="57" spans="2:9" ht="15.75" customHeight="1" x14ac:dyDescent="0.2">
      <c r="C57" s="142" t="s">
        <v>545</v>
      </c>
      <c r="D57" s="142"/>
      <c r="E57" s="142"/>
      <c r="F57" s="142"/>
      <c r="G57" s="142"/>
      <c r="H57" s="100" t="s">
        <v>556</v>
      </c>
      <c r="I57" s="102">
        <v>11500</v>
      </c>
    </row>
    <row r="58" spans="2:9" ht="45" customHeight="1" x14ac:dyDescent="0.2">
      <c r="C58" s="141" t="s">
        <v>546</v>
      </c>
      <c r="D58" s="141"/>
      <c r="E58" s="141"/>
      <c r="F58" s="141"/>
      <c r="G58" s="141"/>
      <c r="H58" s="100" t="s">
        <v>557</v>
      </c>
      <c r="I58" s="102">
        <v>8000</v>
      </c>
    </row>
    <row r="59" spans="2:9" ht="30" customHeight="1" x14ac:dyDescent="0.2">
      <c r="C59" s="141" t="s">
        <v>547</v>
      </c>
      <c r="D59" s="141"/>
      <c r="E59" s="141"/>
      <c r="F59" s="141"/>
      <c r="G59" s="141"/>
      <c r="H59" s="104" t="s">
        <v>558</v>
      </c>
      <c r="I59" s="102">
        <v>117000</v>
      </c>
    </row>
    <row r="60" spans="2:9" ht="33" customHeight="1" x14ac:dyDescent="0.2">
      <c r="C60" s="141" t="s">
        <v>548</v>
      </c>
      <c r="D60" s="141"/>
      <c r="E60" s="141"/>
      <c r="F60" s="141"/>
      <c r="G60" s="141"/>
      <c r="H60" s="104" t="s">
        <v>559</v>
      </c>
      <c r="I60" s="102">
        <v>14400</v>
      </c>
    </row>
    <row r="61" spans="2:9" ht="25.5" customHeight="1" x14ac:dyDescent="0.2">
      <c r="C61" s="141" t="s">
        <v>549</v>
      </c>
      <c r="D61" s="141"/>
      <c r="E61" s="141"/>
      <c r="F61" s="141"/>
      <c r="G61" s="141"/>
      <c r="H61" s="104" t="s">
        <v>560</v>
      </c>
      <c r="I61" s="102">
        <v>32000</v>
      </c>
    </row>
    <row r="62" spans="2:9" ht="21.95" customHeight="1" x14ac:dyDescent="0.2">
      <c r="C62" s="141" t="s">
        <v>550</v>
      </c>
      <c r="D62" s="141"/>
      <c r="E62" s="141"/>
      <c r="F62" s="141"/>
      <c r="G62" s="141"/>
      <c r="H62" s="104" t="s">
        <v>561</v>
      </c>
      <c r="I62" s="102">
        <v>23000</v>
      </c>
    </row>
    <row r="63" spans="2:9" ht="31.5" customHeight="1" x14ac:dyDescent="0.2">
      <c r="C63" s="141" t="s">
        <v>551</v>
      </c>
      <c r="D63" s="141"/>
      <c r="E63" s="141"/>
      <c r="F63" s="141"/>
      <c r="G63" s="141"/>
      <c r="H63" s="104" t="s">
        <v>562</v>
      </c>
      <c r="I63" s="102">
        <v>2000</v>
      </c>
    </row>
    <row r="64" spans="2:9" ht="21.95" customHeight="1" x14ac:dyDescent="0.2">
      <c r="C64" s="141" t="s">
        <v>552</v>
      </c>
      <c r="D64" s="141"/>
      <c r="E64" s="141"/>
      <c r="F64" s="141"/>
      <c r="G64" s="141"/>
      <c r="H64" s="100" t="s">
        <v>563</v>
      </c>
      <c r="I64" s="102">
        <v>24000</v>
      </c>
    </row>
    <row r="65" spans="2:9" ht="27.75" customHeight="1" x14ac:dyDescent="0.2">
      <c r="C65" s="141" t="s">
        <v>553</v>
      </c>
      <c r="D65" s="141"/>
      <c r="E65" s="141"/>
      <c r="F65" s="141"/>
      <c r="G65" s="141"/>
      <c r="H65" s="100" t="s">
        <v>564</v>
      </c>
      <c r="I65" s="102">
        <v>37800</v>
      </c>
    </row>
    <row r="66" spans="2:9" ht="21.95" customHeight="1" x14ac:dyDescent="0.2">
      <c r="C66" s="142" t="s">
        <v>554</v>
      </c>
      <c r="D66" s="142"/>
      <c r="E66" s="142"/>
      <c r="F66" s="142"/>
      <c r="G66" s="142"/>
      <c r="H66" s="100" t="s">
        <v>565</v>
      </c>
      <c r="I66" s="102">
        <v>10000</v>
      </c>
    </row>
    <row r="67" spans="2:9" x14ac:dyDescent="0.2">
      <c r="C67" s="141" t="s">
        <v>555</v>
      </c>
      <c r="D67" s="141"/>
      <c r="E67" s="141"/>
      <c r="F67" s="141"/>
      <c r="G67" s="141"/>
      <c r="H67" s="99" t="s">
        <v>566</v>
      </c>
      <c r="I67" s="102">
        <v>6000</v>
      </c>
    </row>
    <row r="68" spans="2:9" ht="19.5" customHeight="1" x14ac:dyDescent="0.2">
      <c r="B68" s="117"/>
      <c r="C68" s="143" t="s">
        <v>513</v>
      </c>
      <c r="D68" s="143"/>
      <c r="E68" s="143"/>
      <c r="F68" s="143"/>
      <c r="G68" s="143"/>
      <c r="H68" s="143"/>
      <c r="I68" s="116">
        <f>SUM(I56:I67)</f>
        <v>289700</v>
      </c>
    </row>
    <row r="69" spans="2:9" ht="21.95" customHeight="1" x14ac:dyDescent="0.2">
      <c r="B69" s="137" t="s">
        <v>588</v>
      </c>
      <c r="C69" s="138"/>
      <c r="D69" s="138"/>
      <c r="E69" s="138"/>
      <c r="F69" s="138"/>
      <c r="G69" s="138"/>
      <c r="H69" s="138"/>
      <c r="I69" s="138"/>
    </row>
    <row r="70" spans="2:9" ht="24" customHeight="1" x14ac:dyDescent="0.2">
      <c r="B70" s="31" t="s">
        <v>51</v>
      </c>
      <c r="C70" s="136" t="s">
        <v>52</v>
      </c>
      <c r="D70" s="136"/>
      <c r="E70" s="136"/>
      <c r="F70" s="136"/>
      <c r="G70" s="136"/>
      <c r="H70" s="34" t="s">
        <v>517</v>
      </c>
      <c r="I70" s="34" t="s">
        <v>512</v>
      </c>
    </row>
    <row r="71" spans="2:9" ht="25.5" x14ac:dyDescent="0.2">
      <c r="C71" s="139" t="s">
        <v>567</v>
      </c>
      <c r="D71" s="139"/>
      <c r="E71" s="139"/>
      <c r="F71" s="139"/>
      <c r="G71" s="139"/>
      <c r="H71" s="96" t="s">
        <v>568</v>
      </c>
      <c r="I71" s="102">
        <v>27480</v>
      </c>
    </row>
    <row r="72" spans="2:9" ht="14.25" customHeight="1" x14ac:dyDescent="0.2">
      <c r="C72" s="140" t="s">
        <v>569</v>
      </c>
      <c r="D72" s="140"/>
      <c r="E72" s="140"/>
      <c r="F72" s="140"/>
      <c r="G72" s="140"/>
      <c r="H72" s="96" t="s">
        <v>570</v>
      </c>
      <c r="I72" s="102">
        <v>125000</v>
      </c>
    </row>
    <row r="73" spans="2:9" x14ac:dyDescent="0.2">
      <c r="C73" s="140" t="s">
        <v>571</v>
      </c>
      <c r="D73" s="140"/>
      <c r="E73" s="140"/>
      <c r="F73" s="140"/>
      <c r="G73" s="140"/>
      <c r="H73" s="96" t="s">
        <v>572</v>
      </c>
      <c r="I73" s="102">
        <v>30150</v>
      </c>
    </row>
    <row r="74" spans="2:9" x14ac:dyDescent="0.2">
      <c r="C74" s="140" t="s">
        <v>573</v>
      </c>
      <c r="D74" s="140"/>
      <c r="E74" s="140"/>
      <c r="F74" s="140"/>
      <c r="G74" s="140"/>
      <c r="H74" s="96" t="s">
        <v>668</v>
      </c>
      <c r="I74" s="102">
        <v>21000</v>
      </c>
    </row>
    <row r="75" spans="2:9" x14ac:dyDescent="0.2">
      <c r="C75" s="133" t="s">
        <v>582</v>
      </c>
      <c r="D75" s="133"/>
      <c r="E75" s="133"/>
      <c r="F75" s="133"/>
      <c r="G75" s="133"/>
      <c r="H75" s="133"/>
      <c r="I75" s="93">
        <f>SUM(I71:I74)</f>
        <v>203630</v>
      </c>
    </row>
    <row r="76" spans="2:9" ht="24" customHeight="1" x14ac:dyDescent="0.2">
      <c r="B76" s="31" t="s">
        <v>67</v>
      </c>
      <c r="C76" s="136" t="s">
        <v>100</v>
      </c>
      <c r="D76" s="136"/>
      <c r="E76" s="136"/>
      <c r="F76" s="136"/>
      <c r="G76" s="136"/>
      <c r="H76" s="34" t="s">
        <v>517</v>
      </c>
      <c r="I76" s="34" t="s">
        <v>512</v>
      </c>
    </row>
    <row r="77" spans="2:9" x14ac:dyDescent="0.2">
      <c r="C77" s="135" t="s">
        <v>574</v>
      </c>
      <c r="D77" s="135"/>
      <c r="E77" s="135"/>
      <c r="F77" s="135"/>
      <c r="G77" s="135"/>
      <c r="H77" s="96" t="s">
        <v>575</v>
      </c>
      <c r="I77" s="102">
        <v>3000</v>
      </c>
    </row>
    <row r="78" spans="2:9" ht="24" customHeight="1" x14ac:dyDescent="0.2">
      <c r="B78" s="31" t="s">
        <v>78</v>
      </c>
      <c r="C78" s="136" t="s">
        <v>96</v>
      </c>
      <c r="D78" s="136"/>
      <c r="E78" s="136"/>
      <c r="F78" s="136"/>
      <c r="G78" s="136"/>
      <c r="H78" s="34" t="s">
        <v>517</v>
      </c>
      <c r="I78" s="34" t="s">
        <v>512</v>
      </c>
    </row>
    <row r="79" spans="2:9" x14ac:dyDescent="0.2">
      <c r="C79" s="139" t="s">
        <v>576</v>
      </c>
      <c r="D79" s="139"/>
      <c r="E79" s="139"/>
      <c r="F79" s="139"/>
      <c r="G79" s="139"/>
      <c r="H79" s="84" t="s">
        <v>578</v>
      </c>
      <c r="I79" s="102">
        <v>3603</v>
      </c>
    </row>
    <row r="80" spans="2:9" x14ac:dyDescent="0.2">
      <c r="C80" s="139" t="s">
        <v>577</v>
      </c>
      <c r="D80" s="139"/>
      <c r="E80" s="139"/>
      <c r="F80" s="139"/>
      <c r="G80" s="139"/>
      <c r="H80" s="84" t="s">
        <v>579</v>
      </c>
      <c r="I80" s="102">
        <v>7146</v>
      </c>
    </row>
    <row r="81" spans="2:9" x14ac:dyDescent="0.2">
      <c r="C81" s="133" t="s">
        <v>582</v>
      </c>
      <c r="D81" s="133"/>
      <c r="E81" s="133"/>
      <c r="F81" s="133"/>
      <c r="G81" s="133"/>
      <c r="H81" s="133"/>
      <c r="I81" s="93">
        <f>SUM(I79:I80)</f>
        <v>10749</v>
      </c>
    </row>
    <row r="82" spans="2:9" ht="24" customHeight="1" x14ac:dyDescent="0.2">
      <c r="B82" s="31" t="s">
        <v>90</v>
      </c>
      <c r="C82" s="136" t="s">
        <v>91</v>
      </c>
      <c r="D82" s="136"/>
      <c r="E82" s="136"/>
      <c r="F82" s="136"/>
      <c r="G82" s="136"/>
      <c r="H82" s="34" t="s">
        <v>517</v>
      </c>
      <c r="I82" s="34" t="s">
        <v>512</v>
      </c>
    </row>
    <row r="83" spans="2:9" x14ac:dyDescent="0.2">
      <c r="C83" s="134" t="s">
        <v>580</v>
      </c>
      <c r="D83" s="134"/>
      <c r="E83" s="134"/>
      <c r="F83" s="134"/>
      <c r="G83" s="134"/>
      <c r="H83" s="84" t="s">
        <v>581</v>
      </c>
      <c r="I83" s="102">
        <v>14300</v>
      </c>
    </row>
    <row r="84" spans="2:9" ht="22.5" customHeight="1" x14ac:dyDescent="0.2">
      <c r="B84" s="117"/>
      <c r="C84" s="132" t="s">
        <v>513</v>
      </c>
      <c r="D84" s="132"/>
      <c r="E84" s="132"/>
      <c r="F84" s="132"/>
      <c r="G84" s="132"/>
      <c r="H84" s="132"/>
      <c r="I84" s="114">
        <f>SUM(I75,I77,I81,I83)</f>
        <v>231679</v>
      </c>
    </row>
    <row r="85" spans="2:9" ht="21.95" customHeight="1" x14ac:dyDescent="0.2">
      <c r="B85" s="137" t="s">
        <v>589</v>
      </c>
      <c r="C85" s="138"/>
      <c r="D85" s="138"/>
      <c r="E85" s="138"/>
      <c r="F85" s="138"/>
      <c r="G85" s="138"/>
      <c r="H85" s="138"/>
      <c r="I85" s="138"/>
    </row>
    <row r="86" spans="2:9" x14ac:dyDescent="0.2">
      <c r="B86" s="31" t="s">
        <v>19</v>
      </c>
      <c r="C86" s="136" t="s">
        <v>20</v>
      </c>
      <c r="D86" s="136"/>
      <c r="E86" s="136"/>
      <c r="F86" s="136"/>
      <c r="G86" s="136"/>
      <c r="H86" s="34" t="s">
        <v>517</v>
      </c>
      <c r="I86" s="34" t="s">
        <v>512</v>
      </c>
    </row>
    <row r="87" spans="2:9" x14ac:dyDescent="0.2">
      <c r="B87" s="136" t="s">
        <v>516</v>
      </c>
      <c r="C87" s="136"/>
      <c r="D87" s="136"/>
      <c r="E87" s="136"/>
      <c r="F87" s="136"/>
      <c r="G87" s="136"/>
      <c r="H87" s="34"/>
      <c r="I87" s="34"/>
    </row>
    <row r="88" spans="2:9" ht="36.75" customHeight="1" x14ac:dyDescent="0.2">
      <c r="C88" s="134" t="s">
        <v>591</v>
      </c>
      <c r="D88" s="139"/>
      <c r="E88" s="139"/>
      <c r="F88" s="139"/>
      <c r="G88" s="139"/>
      <c r="H88" s="95" t="s">
        <v>595</v>
      </c>
      <c r="I88" s="101">
        <v>47900</v>
      </c>
    </row>
    <row r="89" spans="2:9" ht="39.75" customHeight="1" x14ac:dyDescent="0.2">
      <c r="C89" s="134" t="s">
        <v>590</v>
      </c>
      <c r="D89" s="139"/>
      <c r="E89" s="139"/>
      <c r="F89" s="139"/>
      <c r="G89" s="139"/>
      <c r="H89" s="94" t="s">
        <v>596</v>
      </c>
      <c r="I89" s="101">
        <v>59350</v>
      </c>
    </row>
    <row r="90" spans="2:9" ht="40.5" customHeight="1" x14ac:dyDescent="0.2">
      <c r="C90" s="134" t="s">
        <v>541</v>
      </c>
      <c r="D90" s="139"/>
      <c r="E90" s="139"/>
      <c r="F90" s="139"/>
      <c r="G90" s="139"/>
      <c r="H90" s="96" t="s">
        <v>594</v>
      </c>
      <c r="I90" s="101">
        <v>6900</v>
      </c>
    </row>
    <row r="91" spans="2:9" ht="28.5" customHeight="1" x14ac:dyDescent="0.2">
      <c r="C91" s="134" t="s">
        <v>592</v>
      </c>
      <c r="D91" s="139"/>
      <c r="E91" s="139"/>
      <c r="F91" s="139"/>
      <c r="G91" s="139"/>
      <c r="H91" s="96" t="s">
        <v>593</v>
      </c>
      <c r="I91" s="101">
        <v>51300</v>
      </c>
    </row>
    <row r="92" spans="2:9" ht="21.95" customHeight="1" x14ac:dyDescent="0.2">
      <c r="C92" s="144" t="s">
        <v>582</v>
      </c>
      <c r="D92" s="144"/>
      <c r="E92" s="144"/>
      <c r="F92" s="144"/>
      <c r="G92" s="144"/>
      <c r="H92" s="144"/>
      <c r="I92" s="88">
        <f>5000+I88+I89+I90+I91</f>
        <v>170450</v>
      </c>
    </row>
    <row r="93" spans="2:9" ht="21.95" customHeight="1" x14ac:dyDescent="0.2">
      <c r="B93" s="31" t="s">
        <v>51</v>
      </c>
      <c r="C93" s="136" t="s">
        <v>52</v>
      </c>
      <c r="D93" s="136"/>
      <c r="E93" s="136"/>
      <c r="F93" s="136"/>
      <c r="G93" s="136"/>
      <c r="H93" s="34" t="s">
        <v>517</v>
      </c>
      <c r="I93" s="34" t="s">
        <v>512</v>
      </c>
    </row>
    <row r="94" spans="2:9" ht="26.25" customHeight="1" x14ac:dyDescent="0.2">
      <c r="C94" s="147" t="s">
        <v>597</v>
      </c>
      <c r="D94" s="147"/>
      <c r="E94" s="147"/>
      <c r="F94" s="147"/>
      <c r="G94" s="147"/>
      <c r="H94" s="79" t="s">
        <v>598</v>
      </c>
      <c r="I94" s="101">
        <v>15000</v>
      </c>
    </row>
    <row r="95" spans="2:9" ht="21.95" customHeight="1" x14ac:dyDescent="0.2">
      <c r="C95" s="147" t="s">
        <v>440</v>
      </c>
      <c r="D95" s="147"/>
      <c r="E95" s="147"/>
      <c r="F95" s="147"/>
      <c r="G95" s="147"/>
      <c r="H95" s="79" t="s">
        <v>599</v>
      </c>
      <c r="I95" s="101">
        <v>23500</v>
      </c>
    </row>
    <row r="96" spans="2:9" ht="24.75" customHeight="1" x14ac:dyDescent="0.2">
      <c r="C96" s="147" t="s">
        <v>442</v>
      </c>
      <c r="D96" s="147"/>
      <c r="E96" s="147"/>
      <c r="F96" s="147"/>
      <c r="G96" s="147"/>
      <c r="H96" s="79" t="s">
        <v>600</v>
      </c>
      <c r="I96" s="101">
        <v>10000</v>
      </c>
    </row>
    <row r="97" spans="2:9" ht="21.95" customHeight="1" x14ac:dyDescent="0.2">
      <c r="C97" s="148" t="s">
        <v>444</v>
      </c>
      <c r="D97" s="148"/>
      <c r="E97" s="148"/>
      <c r="F97" s="148"/>
      <c r="G97" s="148"/>
      <c r="H97" s="79"/>
      <c r="I97" s="101">
        <v>6000</v>
      </c>
    </row>
    <row r="98" spans="2:9" ht="21.95" customHeight="1" x14ac:dyDescent="0.2">
      <c r="C98" s="147" t="s">
        <v>445</v>
      </c>
      <c r="D98" s="147"/>
      <c r="E98" s="147"/>
      <c r="F98" s="147"/>
      <c r="G98" s="147"/>
      <c r="H98" s="12" t="s">
        <v>601</v>
      </c>
      <c r="I98" s="101">
        <v>8600</v>
      </c>
    </row>
    <row r="99" spans="2:9" ht="33.75" customHeight="1" x14ac:dyDescent="0.2">
      <c r="C99" s="147" t="s">
        <v>446</v>
      </c>
      <c r="D99" s="147"/>
      <c r="E99" s="147"/>
      <c r="F99" s="147"/>
      <c r="G99" s="147"/>
      <c r="H99" s="12" t="s">
        <v>602</v>
      </c>
      <c r="I99" s="101">
        <v>27750</v>
      </c>
    </row>
    <row r="100" spans="2:9" ht="27" customHeight="1" x14ac:dyDescent="0.2">
      <c r="C100" s="147" t="s">
        <v>447</v>
      </c>
      <c r="D100" s="147"/>
      <c r="E100" s="147"/>
      <c r="F100" s="147"/>
      <c r="G100" s="147"/>
      <c r="H100" s="79" t="s">
        <v>603</v>
      </c>
      <c r="I100" s="101">
        <v>7000</v>
      </c>
    </row>
    <row r="101" spans="2:9" ht="41.25" customHeight="1" x14ac:dyDescent="0.2">
      <c r="C101" s="147" t="s">
        <v>449</v>
      </c>
      <c r="D101" s="147"/>
      <c r="E101" s="147"/>
      <c r="F101" s="147"/>
      <c r="G101" s="147"/>
      <c r="H101" s="79" t="s">
        <v>604</v>
      </c>
      <c r="I101" s="101">
        <v>20400</v>
      </c>
    </row>
    <row r="102" spans="2:9" ht="21.95" customHeight="1" x14ac:dyDescent="0.2">
      <c r="C102" s="144" t="s">
        <v>582</v>
      </c>
      <c r="D102" s="144"/>
      <c r="E102" s="144"/>
      <c r="F102" s="144"/>
      <c r="G102" s="144"/>
      <c r="H102" s="144"/>
      <c r="I102" s="93">
        <f>SUM(I94:I101)</f>
        <v>118250</v>
      </c>
    </row>
    <row r="103" spans="2:9" ht="21.95" customHeight="1" x14ac:dyDescent="0.2">
      <c r="B103" s="31" t="s">
        <v>67</v>
      </c>
      <c r="C103" s="136" t="s">
        <v>100</v>
      </c>
      <c r="D103" s="136"/>
      <c r="E103" s="136"/>
      <c r="F103" s="136"/>
      <c r="G103" s="136"/>
      <c r="H103" s="34" t="s">
        <v>517</v>
      </c>
      <c r="I103" s="34" t="s">
        <v>512</v>
      </c>
    </row>
    <row r="104" spans="2:9" ht="21.95" customHeight="1" x14ac:dyDescent="0.2">
      <c r="B104" s="49" t="s">
        <v>457</v>
      </c>
      <c r="C104" s="147" t="s">
        <v>458</v>
      </c>
      <c r="D104" s="147"/>
      <c r="E104" s="147"/>
      <c r="F104" s="147"/>
      <c r="G104" s="147"/>
      <c r="H104" s="79" t="s">
        <v>605</v>
      </c>
      <c r="I104" s="101">
        <v>20000</v>
      </c>
    </row>
    <row r="105" spans="2:9" ht="21.95" customHeight="1" x14ac:dyDescent="0.2">
      <c r="B105" s="49" t="s">
        <v>325</v>
      </c>
      <c r="C105" s="147" t="s">
        <v>459</v>
      </c>
      <c r="D105" s="147"/>
      <c r="E105" s="147"/>
      <c r="F105" s="147"/>
      <c r="G105" s="147"/>
      <c r="H105" s="79" t="s">
        <v>605</v>
      </c>
      <c r="I105" s="101">
        <v>20000</v>
      </c>
    </row>
    <row r="106" spans="2:9" ht="21.95" customHeight="1" x14ac:dyDescent="0.2">
      <c r="B106" s="49" t="s">
        <v>326</v>
      </c>
      <c r="C106" s="147" t="s">
        <v>460</v>
      </c>
      <c r="D106" s="147"/>
      <c r="E106" s="147"/>
      <c r="F106" s="147"/>
      <c r="G106" s="147"/>
      <c r="H106" s="79" t="s">
        <v>605</v>
      </c>
      <c r="I106" s="101">
        <v>20000</v>
      </c>
    </row>
    <row r="107" spans="2:9" ht="34.5" customHeight="1" x14ac:dyDescent="0.2">
      <c r="B107" s="49" t="s">
        <v>461</v>
      </c>
      <c r="C107" s="147" t="s">
        <v>462</v>
      </c>
      <c r="D107" s="147"/>
      <c r="E107" s="147"/>
      <c r="F107" s="147"/>
      <c r="G107" s="147"/>
      <c r="H107" s="79" t="s">
        <v>606</v>
      </c>
      <c r="I107" s="101">
        <v>50400</v>
      </c>
    </row>
    <row r="108" spans="2:9" ht="21.95" customHeight="1" x14ac:dyDescent="0.2">
      <c r="C108" s="144" t="s">
        <v>582</v>
      </c>
      <c r="D108" s="144"/>
      <c r="E108" s="144"/>
      <c r="F108" s="144"/>
      <c r="G108" s="144"/>
      <c r="H108" s="144"/>
      <c r="I108" s="88">
        <f>SUM(I104:I107)</f>
        <v>110400</v>
      </c>
    </row>
    <row r="109" spans="2:9" ht="21.95" customHeight="1" x14ac:dyDescent="0.2">
      <c r="B109" s="31" t="s">
        <v>78</v>
      </c>
      <c r="C109" s="136" t="s">
        <v>96</v>
      </c>
      <c r="D109" s="136"/>
      <c r="E109" s="136"/>
      <c r="F109" s="136"/>
      <c r="G109" s="136"/>
      <c r="H109" s="34" t="s">
        <v>517</v>
      </c>
      <c r="I109" s="34" t="s">
        <v>512</v>
      </c>
    </row>
    <row r="110" spans="2:9" ht="21.95" customHeight="1" x14ac:dyDescent="0.2">
      <c r="B110" s="82" t="s">
        <v>469</v>
      </c>
      <c r="C110" s="147" t="s">
        <v>470</v>
      </c>
      <c r="D110" s="147"/>
      <c r="E110" s="147"/>
      <c r="F110" s="147"/>
      <c r="G110" s="147"/>
      <c r="H110" s="12" t="s">
        <v>607</v>
      </c>
      <c r="I110" s="105">
        <v>18500</v>
      </c>
    </row>
    <row r="111" spans="2:9" ht="25.5" customHeight="1" x14ac:dyDescent="0.2">
      <c r="B111" s="82" t="s">
        <v>471</v>
      </c>
      <c r="C111" s="147" t="s">
        <v>472</v>
      </c>
      <c r="D111" s="147"/>
      <c r="E111" s="147"/>
      <c r="F111" s="147"/>
      <c r="G111" s="147"/>
      <c r="H111" s="12" t="s">
        <v>608</v>
      </c>
      <c r="I111" s="105">
        <v>18500</v>
      </c>
    </row>
    <row r="112" spans="2:9" ht="19.5" customHeight="1" x14ac:dyDescent="0.2">
      <c r="B112" s="82" t="s">
        <v>473</v>
      </c>
      <c r="C112" s="147" t="s">
        <v>484</v>
      </c>
      <c r="D112" s="147"/>
      <c r="E112" s="147"/>
      <c r="F112" s="147"/>
      <c r="G112" s="147"/>
      <c r="I112" s="105">
        <v>22500</v>
      </c>
    </row>
    <row r="113" spans="2:9" ht="21.95" customHeight="1" x14ac:dyDescent="0.2">
      <c r="C113" s="144" t="s">
        <v>582</v>
      </c>
      <c r="D113" s="144"/>
      <c r="E113" s="144"/>
      <c r="F113" s="144"/>
      <c r="G113" s="144"/>
      <c r="H113" s="144"/>
      <c r="I113" s="88">
        <f>SUM(I110:I112)</f>
        <v>59500</v>
      </c>
    </row>
    <row r="114" spans="2:9" ht="21.95" customHeight="1" x14ac:dyDescent="0.2">
      <c r="B114" s="31" t="s">
        <v>90</v>
      </c>
      <c r="C114" s="136" t="s">
        <v>91</v>
      </c>
      <c r="D114" s="136"/>
      <c r="E114" s="136"/>
      <c r="F114" s="136"/>
      <c r="G114" s="136"/>
      <c r="H114" s="34" t="s">
        <v>517</v>
      </c>
      <c r="I114" s="34" t="s">
        <v>512</v>
      </c>
    </row>
    <row r="115" spans="2:9" ht="21.95" customHeight="1" x14ac:dyDescent="0.2">
      <c r="B115" s="82" t="s">
        <v>328</v>
      </c>
      <c r="C115" s="147" t="s">
        <v>329</v>
      </c>
      <c r="D115" s="147"/>
      <c r="E115" s="147"/>
      <c r="F115" s="147"/>
      <c r="G115" s="147"/>
      <c r="I115" s="105">
        <v>4000</v>
      </c>
    </row>
    <row r="116" spans="2:9" ht="21.95" customHeight="1" x14ac:dyDescent="0.2">
      <c r="B116" s="82" t="s">
        <v>485</v>
      </c>
      <c r="C116" s="147" t="s">
        <v>486</v>
      </c>
      <c r="D116" s="147"/>
      <c r="E116" s="147"/>
      <c r="F116" s="147"/>
      <c r="G116" s="147"/>
      <c r="I116" s="105">
        <v>22000</v>
      </c>
    </row>
    <row r="117" spans="2:9" ht="21.95" customHeight="1" x14ac:dyDescent="0.2">
      <c r="B117" s="82" t="s">
        <v>487</v>
      </c>
      <c r="C117" s="147" t="s">
        <v>488</v>
      </c>
      <c r="D117" s="147"/>
      <c r="E117" s="147"/>
      <c r="F117" s="147"/>
      <c r="G117" s="147"/>
      <c r="I117" s="105">
        <v>25300</v>
      </c>
    </row>
    <row r="118" spans="2:9" ht="21.95" customHeight="1" x14ac:dyDescent="0.2">
      <c r="B118" s="82" t="s">
        <v>489</v>
      </c>
      <c r="C118" s="147" t="s">
        <v>490</v>
      </c>
      <c r="D118" s="147"/>
      <c r="E118" s="147"/>
      <c r="F118" s="147"/>
      <c r="G118" s="147"/>
      <c r="H118" s="90" t="s">
        <v>609</v>
      </c>
      <c r="I118" s="105">
        <v>20000</v>
      </c>
    </row>
    <row r="119" spans="2:9" ht="21.95" customHeight="1" x14ac:dyDescent="0.2">
      <c r="C119" s="144" t="s">
        <v>582</v>
      </c>
      <c r="D119" s="144"/>
      <c r="E119" s="144"/>
      <c r="F119" s="144"/>
      <c r="G119" s="144"/>
      <c r="H119" s="144"/>
      <c r="I119" s="88">
        <f>SUM(I115:I118)</f>
        <v>71300</v>
      </c>
    </row>
    <row r="120" spans="2:9" ht="21.95" customHeight="1" x14ac:dyDescent="0.2">
      <c r="B120" s="136" t="s">
        <v>610</v>
      </c>
      <c r="C120" s="136"/>
      <c r="D120" s="136"/>
      <c r="E120" s="136"/>
      <c r="F120" s="136"/>
      <c r="G120" s="91"/>
      <c r="H120" s="34" t="s">
        <v>517</v>
      </c>
      <c r="I120" s="34" t="s">
        <v>512</v>
      </c>
    </row>
    <row r="121" spans="2:9" ht="21.95" customHeight="1" x14ac:dyDescent="0.2">
      <c r="C121" s="134" t="s">
        <v>611</v>
      </c>
      <c r="D121" s="134"/>
      <c r="E121" s="134"/>
      <c r="F121" s="134"/>
      <c r="G121" s="134"/>
      <c r="H121" s="90" t="s">
        <v>615</v>
      </c>
      <c r="I121" s="105">
        <v>20800</v>
      </c>
    </row>
    <row r="122" spans="2:9" ht="25.5" x14ac:dyDescent="0.2">
      <c r="C122" s="134" t="s">
        <v>612</v>
      </c>
      <c r="D122" s="134"/>
      <c r="E122" s="134"/>
      <c r="F122" s="134"/>
      <c r="G122" s="134"/>
      <c r="H122" s="96" t="s">
        <v>616</v>
      </c>
      <c r="I122" s="105">
        <v>7000</v>
      </c>
    </row>
    <row r="123" spans="2:9" ht="25.5" x14ac:dyDescent="0.2">
      <c r="C123" s="134" t="s">
        <v>613</v>
      </c>
      <c r="D123" s="134"/>
      <c r="E123" s="134"/>
      <c r="F123" s="134"/>
      <c r="G123" s="134"/>
      <c r="H123" s="96" t="s">
        <v>617</v>
      </c>
      <c r="I123" s="105">
        <v>36000</v>
      </c>
    </row>
    <row r="124" spans="2:9" ht="25.5" x14ac:dyDescent="0.2">
      <c r="C124" s="134" t="s">
        <v>614</v>
      </c>
      <c r="D124" s="134"/>
      <c r="E124" s="134"/>
      <c r="F124" s="134"/>
      <c r="G124" s="134"/>
      <c r="H124" s="96" t="s">
        <v>618</v>
      </c>
      <c r="I124" s="105">
        <v>10000</v>
      </c>
    </row>
    <row r="125" spans="2:9" x14ac:dyDescent="0.2">
      <c r="C125" s="144" t="s">
        <v>582</v>
      </c>
      <c r="D125" s="144"/>
      <c r="E125" s="144"/>
      <c r="F125" s="144"/>
      <c r="G125" s="144"/>
      <c r="H125" s="144"/>
      <c r="I125" s="88">
        <f>SUM(I121:I124)</f>
        <v>73800</v>
      </c>
    </row>
    <row r="126" spans="2:9" ht="20.25" customHeight="1" x14ac:dyDescent="0.2">
      <c r="B126" s="117"/>
      <c r="C126" s="149" t="s">
        <v>513</v>
      </c>
      <c r="D126" s="149"/>
      <c r="E126" s="149"/>
      <c r="F126" s="149"/>
      <c r="G126" s="149"/>
      <c r="H126" s="149"/>
      <c r="I126" s="114">
        <f>SUM(I92,I102,I108,I113,I119,I125)</f>
        <v>603700</v>
      </c>
    </row>
    <row r="127" spans="2:9" x14ac:dyDescent="0.2">
      <c r="I127" s="105">
        <f>SUM(I18,I29,I54,I68,I84,I126)</f>
        <v>1774188</v>
      </c>
    </row>
  </sheetData>
  <mergeCells count="124">
    <mergeCell ref="C124:G124"/>
    <mergeCell ref="C125:H125"/>
    <mergeCell ref="C126:H126"/>
    <mergeCell ref="B120:F120"/>
    <mergeCell ref="C121:G121"/>
    <mergeCell ref="C122:G122"/>
    <mergeCell ref="C123:G123"/>
    <mergeCell ref="C115:G115"/>
    <mergeCell ref="C116:G116"/>
    <mergeCell ref="C117:G117"/>
    <mergeCell ref="C118:G118"/>
    <mergeCell ref="C119:H119"/>
    <mergeCell ref="C110:G110"/>
    <mergeCell ref="C111:G111"/>
    <mergeCell ref="C112:G112"/>
    <mergeCell ref="C113:H113"/>
    <mergeCell ref="C114:G114"/>
    <mergeCell ref="C106:G106"/>
    <mergeCell ref="C107:G107"/>
    <mergeCell ref="C108:H108"/>
    <mergeCell ref="C109:G109"/>
    <mergeCell ref="C101:G101"/>
    <mergeCell ref="C102:H102"/>
    <mergeCell ref="C103:G103"/>
    <mergeCell ref="C104:G104"/>
    <mergeCell ref="C105:G105"/>
    <mergeCell ref="C97:G97"/>
    <mergeCell ref="C98:G98"/>
    <mergeCell ref="C99:G99"/>
    <mergeCell ref="C100:G100"/>
    <mergeCell ref="C93:G93"/>
    <mergeCell ref="C94:G94"/>
    <mergeCell ref="C95:G95"/>
    <mergeCell ref="C96:G96"/>
    <mergeCell ref="C92:H92"/>
    <mergeCell ref="B87:G87"/>
    <mergeCell ref="C88:G88"/>
    <mergeCell ref="C89:G89"/>
    <mergeCell ref="C90:G90"/>
    <mergeCell ref="C91:G91"/>
    <mergeCell ref="B85:I85"/>
    <mergeCell ref="B2:I2"/>
    <mergeCell ref="B21:G21"/>
    <mergeCell ref="C86:G86"/>
    <mergeCell ref="C80:G80"/>
    <mergeCell ref="C83:G83"/>
    <mergeCell ref="C79:G79"/>
    <mergeCell ref="C5:G5"/>
    <mergeCell ref="B6:G6"/>
    <mergeCell ref="B4:I4"/>
    <mergeCell ref="C14:G14"/>
    <mergeCell ref="C15:G15"/>
    <mergeCell ref="B24:B25"/>
    <mergeCell ref="B30:I30"/>
    <mergeCell ref="C10:G10"/>
    <mergeCell ref="C7:G7"/>
    <mergeCell ref="C8:G8"/>
    <mergeCell ref="C11:G11"/>
    <mergeCell ref="B19:I19"/>
    <mergeCell ref="C20:G20"/>
    <mergeCell ref="C22:G22"/>
    <mergeCell ref="C24:G25"/>
    <mergeCell ref="C23:G23"/>
    <mergeCell ref="C16:G16"/>
    <mergeCell ref="C58:G58"/>
    <mergeCell ref="C59:G59"/>
    <mergeCell ref="C60:G60"/>
    <mergeCell ref="C61:G61"/>
    <mergeCell ref="C38:G38"/>
    <mergeCell ref="C36:G36"/>
    <mergeCell ref="C37:G37"/>
    <mergeCell ref="C27:G27"/>
    <mergeCell ref="C28:G28"/>
    <mergeCell ref="C31:G31"/>
    <mergeCell ref="B32:G32"/>
    <mergeCell ref="C33:G33"/>
    <mergeCell ref="C34:G34"/>
    <mergeCell ref="C35:G35"/>
    <mergeCell ref="C9:H9"/>
    <mergeCell ref="C13:H13"/>
    <mergeCell ref="C17:H17"/>
    <mergeCell ref="C26:H26"/>
    <mergeCell ref="C29:H29"/>
    <mergeCell ref="C18:H18"/>
    <mergeCell ref="C12:G12"/>
    <mergeCell ref="C51:G51"/>
    <mergeCell ref="C54:H54"/>
    <mergeCell ref="C50:G50"/>
    <mergeCell ref="C40:G40"/>
    <mergeCell ref="C39:G39"/>
    <mergeCell ref="C52:G52"/>
    <mergeCell ref="C41:H41"/>
    <mergeCell ref="C47:H47"/>
    <mergeCell ref="C46:G46"/>
    <mergeCell ref="C42:G42"/>
    <mergeCell ref="C44:G44"/>
    <mergeCell ref="C45:G45"/>
    <mergeCell ref="C43:G43"/>
    <mergeCell ref="C48:G48"/>
    <mergeCell ref="C49:G49"/>
    <mergeCell ref="C84:H84"/>
    <mergeCell ref="C75:H75"/>
    <mergeCell ref="C81:H81"/>
    <mergeCell ref="C53:G53"/>
    <mergeCell ref="C77:G77"/>
    <mergeCell ref="C78:G78"/>
    <mergeCell ref="C82:G82"/>
    <mergeCell ref="B69:I69"/>
    <mergeCell ref="C70:G70"/>
    <mergeCell ref="C76:G76"/>
    <mergeCell ref="C71:G71"/>
    <mergeCell ref="C72:G72"/>
    <mergeCell ref="C73:G73"/>
    <mergeCell ref="C74:G74"/>
    <mergeCell ref="C63:G63"/>
    <mergeCell ref="C64:G64"/>
    <mergeCell ref="C65:G65"/>
    <mergeCell ref="C66:G66"/>
    <mergeCell ref="C67:G67"/>
    <mergeCell ref="C68:H68"/>
    <mergeCell ref="C62:G62"/>
    <mergeCell ref="B55:I55"/>
    <mergeCell ref="C56:G56"/>
    <mergeCell ref="C57:G57"/>
  </mergeCells>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POA2025</vt:lpstr>
      <vt:lpstr>Presupuesto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Dalila</dc:creator>
  <cp:lastModifiedBy>Veronica Ferreyra</cp:lastModifiedBy>
  <dcterms:created xsi:type="dcterms:W3CDTF">2023-02-07T14:46:48Z</dcterms:created>
  <dcterms:modified xsi:type="dcterms:W3CDTF">2026-01-15T21:46:30Z</dcterms:modified>
</cp:coreProperties>
</file>